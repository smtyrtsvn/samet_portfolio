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yurtseven\PycharmProjects\pythonProject\PyCoreTex\"/>
    </mc:Choice>
  </mc:AlternateContent>
  <xr:revisionPtr revIDLastSave="0" documentId="13_ncr:1_{FB0F9278-EF32-4097-9123-EDD197D3A8D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a" sheetId="2" r:id="rId1"/>
    <sheet name="Unfinished" sheetId="6" r:id="rId2"/>
    <sheet name="OlderDatas" sheetId="5" r:id="rId3"/>
    <sheet name="Not" sheetId="4" r:id="rId4"/>
    <sheet name="Kodlar" sheetId="3" r:id="rId5"/>
    <sheet name="Order no" sheetId="7" r:id="rId6"/>
    <sheet name="Stocker" sheetId="8" r:id="rId7"/>
  </sheets>
  <definedNames>
    <definedName name="_xlnm._FilterDatabase" localSheetId="0" hidden="1">Data!$A$1:$U$1</definedName>
    <definedName name="_xlnm._FilterDatabase" localSheetId="2" hidden="1">OlderDatas!$A$1:$T$1</definedName>
    <definedName name="_xlnm._FilterDatabase" localSheetId="5" hidden="1">'Order no'!$A$2:$D$2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21" i="2" l="1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D94" i="5"/>
  <c r="F94" i="5"/>
  <c r="F3" i="2"/>
  <c r="D3" i="2"/>
  <c r="F2" i="2"/>
  <c r="D2" i="2"/>
  <c r="D88" i="5" l="1"/>
  <c r="F88" i="5"/>
  <c r="D89" i="5"/>
  <c r="F89" i="5"/>
  <c r="D90" i="5"/>
  <c r="F90" i="5"/>
  <c r="D91" i="5"/>
  <c r="F91" i="5"/>
  <c r="D92" i="5"/>
  <c r="F92" i="5"/>
  <c r="D93" i="5"/>
  <c r="F93" i="5"/>
  <c r="D79" i="5"/>
  <c r="F79" i="5"/>
  <c r="D80" i="5"/>
  <c r="F80" i="5"/>
  <c r="D81" i="5"/>
  <c r="F81" i="5"/>
  <c r="D82" i="5"/>
  <c r="F82" i="5"/>
  <c r="D83" i="5"/>
  <c r="F83" i="5"/>
  <c r="D84" i="5"/>
  <c r="F84" i="5"/>
  <c r="D85" i="5"/>
  <c r="F85" i="5"/>
  <c r="D86" i="5"/>
  <c r="F86" i="5"/>
  <c r="D87" i="5"/>
  <c r="F87" i="5"/>
  <c r="F78" i="5"/>
  <c r="D78" i="5"/>
  <c r="F77" i="5"/>
  <c r="D77" i="5"/>
  <c r="F76" i="5"/>
  <c r="D76" i="5"/>
  <c r="F75" i="5"/>
  <c r="D75" i="5"/>
  <c r="F74" i="5"/>
  <c r="D74" i="5"/>
  <c r="F73" i="5"/>
  <c r="D73" i="5"/>
  <c r="D22" i="6"/>
  <c r="F22" i="6"/>
  <c r="D23" i="6"/>
  <c r="F23" i="6"/>
  <c r="D71" i="5"/>
  <c r="F71" i="5"/>
  <c r="D72" i="5"/>
  <c r="F72" i="5"/>
  <c r="F21" i="6"/>
  <c r="D21" i="6"/>
  <c r="F20" i="6"/>
  <c r="D20" i="6"/>
  <c r="J9" i="6" l="1"/>
  <c r="J8" i="6"/>
  <c r="J58" i="5"/>
  <c r="J60" i="5"/>
</calcChain>
</file>

<file path=xl/sharedStrings.xml><?xml version="1.0" encoding="utf-8"?>
<sst xmlns="http://schemas.openxmlformats.org/spreadsheetml/2006/main" count="2251" uniqueCount="566">
  <si>
    <t>BELGE NO</t>
  </si>
  <si>
    <t>SEVK TARİH</t>
  </si>
  <si>
    <t>BELGE TARİH</t>
  </si>
  <si>
    <t>AÇIKLAMA</t>
  </si>
  <si>
    <t>ATOLYE KODU</t>
  </si>
  <si>
    <t>ORDER NO</t>
  </si>
  <si>
    <t>BİRİM</t>
  </si>
  <si>
    <t>KUR</t>
  </si>
  <si>
    <t>BİRİM FİYAT</t>
  </si>
  <si>
    <t>KDV</t>
  </si>
  <si>
    <t>s1</t>
  </si>
  <si>
    <t>s2</t>
  </si>
  <si>
    <t>s3</t>
  </si>
  <si>
    <t>s4</t>
  </si>
  <si>
    <t>s5</t>
  </si>
  <si>
    <t>s6</t>
  </si>
  <si>
    <t>t</t>
  </si>
  <si>
    <t>gg</t>
  </si>
  <si>
    <t>s7</t>
  </si>
  <si>
    <t>TİP</t>
  </si>
  <si>
    <t>İŞLEM KODU</t>
  </si>
  <si>
    <t>İŞLEM TİPİ</t>
  </si>
  <si>
    <t>P</t>
  </si>
  <si>
    <t>320.10.M002</t>
  </si>
  <si>
    <t>320.10.S014</t>
  </si>
  <si>
    <t>Siba</t>
  </si>
  <si>
    <t>Maz Fason</t>
  </si>
  <si>
    <t>x</t>
  </si>
  <si>
    <t>FAM0565 SS23 DEICHMANN</t>
  </si>
  <si>
    <t>U</t>
  </si>
  <si>
    <t>04112022</t>
  </si>
  <si>
    <t>e</t>
  </si>
  <si>
    <t>İşlem Kodu: Parça işçilik için 800-801 gibi sayılar // Üretim Analiz için 10-Üretim, 20-Ticari Mal</t>
  </si>
  <si>
    <t>Tip: Bu kısım parça işçilik faturasının Giden/Gelen bilgisi içindir.  g: giden // gg: Gelen</t>
  </si>
  <si>
    <t>Birim: t:TL // e:EUR // u:USD // g:GBP</t>
  </si>
  <si>
    <t>Kur: Farklı bir kur varsa kullanılır.</t>
  </si>
  <si>
    <t>İşlem Tipi: U: Üretim Analiz // P: Parça İşçilik</t>
  </si>
  <si>
    <t>120.30.Y001</t>
  </si>
  <si>
    <t>FAW0396 SS23</t>
  </si>
  <si>
    <t>11.5</t>
  </si>
  <si>
    <t>FAW0397 SS23</t>
  </si>
  <si>
    <t>10.8</t>
  </si>
  <si>
    <t>FAW0399 SS23</t>
  </si>
  <si>
    <t>FAW0417 SS23</t>
  </si>
  <si>
    <t>11.55</t>
  </si>
  <si>
    <t>7.45</t>
  </si>
  <si>
    <t>FAM0303 SS23</t>
  </si>
  <si>
    <t>6.3</t>
  </si>
  <si>
    <t>FAW0500 SS23</t>
  </si>
  <si>
    <t>9.51</t>
  </si>
  <si>
    <t>FAW0501 SS23</t>
  </si>
  <si>
    <t>FAM0312 SS23</t>
  </si>
  <si>
    <t>6.36</t>
  </si>
  <si>
    <t>7.2</t>
  </si>
  <si>
    <t>GIB2022000000087</t>
  </si>
  <si>
    <t>320.10.A003</t>
  </si>
  <si>
    <t>Ali Alıcı</t>
  </si>
  <si>
    <t>1</t>
  </si>
  <si>
    <t>1000</t>
  </si>
  <si>
    <t>FAW0443 SS23</t>
  </si>
  <si>
    <t>120</t>
  </si>
  <si>
    <t>IHA2022000000397</t>
  </si>
  <si>
    <t>YFA EUR</t>
  </si>
  <si>
    <t>FAW0685 SS23 DEICHMANN</t>
  </si>
  <si>
    <t>18.1639</t>
  </si>
  <si>
    <t>4.4</t>
  </si>
  <si>
    <t>FAM0308 SS23</t>
  </si>
  <si>
    <t>FAW0382 SS23</t>
  </si>
  <si>
    <t>FAW0387 SS23</t>
  </si>
  <si>
    <t>FAW0390 SS23</t>
  </si>
  <si>
    <t>FAW0391 SS23</t>
  </si>
  <si>
    <t>FAW0402 SS23</t>
  </si>
  <si>
    <t>FAW0499 SS23</t>
  </si>
  <si>
    <t>18.685</t>
  </si>
  <si>
    <t>IHA2022000000401</t>
  </si>
  <si>
    <t>12.5</t>
  </si>
  <si>
    <t>6.15</t>
  </si>
  <si>
    <t>6.05</t>
  </si>
  <si>
    <t>7.5</t>
  </si>
  <si>
    <t>9.7</t>
  </si>
  <si>
    <t>IHA2022000000400</t>
  </si>
  <si>
    <t>320.30.Y001</t>
  </si>
  <si>
    <t>Baskı</t>
  </si>
  <si>
    <t>Ütü Paket</t>
  </si>
  <si>
    <t>IHA2022000000404</t>
  </si>
  <si>
    <t>19.2822</t>
  </si>
  <si>
    <t>IMA2022000001994</t>
  </si>
  <si>
    <t>YFA TRY</t>
  </si>
  <si>
    <t>320.10.Y001</t>
  </si>
  <si>
    <t>TAW0077</t>
  </si>
  <si>
    <t>TAW00157</t>
  </si>
  <si>
    <t>6</t>
  </si>
  <si>
    <t>CKY2022000002325</t>
  </si>
  <si>
    <t>FAM0605 SS23 DEICHMANN</t>
  </si>
  <si>
    <t>120.11</t>
  </si>
  <si>
    <t>CKY2022000002310</t>
  </si>
  <si>
    <t>68.61</t>
  </si>
  <si>
    <t>FAM0571 SS23 DEICHMANN</t>
  </si>
  <si>
    <t>64.11</t>
  </si>
  <si>
    <t>CKY2022000002313</t>
  </si>
  <si>
    <t>FAW0411 SS23</t>
  </si>
  <si>
    <t>FAM0321 SS23</t>
  </si>
  <si>
    <t>FAW0444 SS23</t>
  </si>
  <si>
    <t>FAM0329 SS23</t>
  </si>
  <si>
    <t>54.11</t>
  </si>
  <si>
    <t>CKY2022000002275</t>
  </si>
  <si>
    <t>FAW0410 SS23</t>
  </si>
  <si>
    <t>51.01</t>
  </si>
  <si>
    <t>43.11</t>
  </si>
  <si>
    <t>CKY2022000002287</t>
  </si>
  <si>
    <t>FAM0338 SS23</t>
  </si>
  <si>
    <t>55.11</t>
  </si>
  <si>
    <t>0</t>
  </si>
  <si>
    <t>TAW0157</t>
  </si>
  <si>
    <t>FAM0579  SS23</t>
  </si>
  <si>
    <t>COR2022000000435</t>
  </si>
  <si>
    <t>FAM0566 SS23 DEICHMANN</t>
  </si>
  <si>
    <t>FAM0564 SS23 DEICHMANN</t>
  </si>
  <si>
    <t>FAW0652 SS23 DEICHMANN</t>
  </si>
  <si>
    <t>FAM0563 SS23 DEICHMANN</t>
  </si>
  <si>
    <t>Durum</t>
  </si>
  <si>
    <t>2</t>
  </si>
  <si>
    <t>COR2022000000433</t>
  </si>
  <si>
    <t>FAM0320 SS23</t>
  </si>
  <si>
    <t>FAM0333 SS23</t>
  </si>
  <si>
    <t>FAM0322 SS23</t>
  </si>
  <si>
    <t>FAW0458 SS23</t>
  </si>
  <si>
    <t>FAM0339 SS23</t>
  </si>
  <si>
    <t>FAM0307 SS23</t>
  </si>
  <si>
    <t>FAW0446 SS23</t>
  </si>
  <si>
    <t>FAM0324 SS23</t>
  </si>
  <si>
    <t>FAW0400 SS23</t>
  </si>
  <si>
    <t>FAW0418 SS23</t>
  </si>
  <si>
    <t>FAM0332 SS23</t>
  </si>
  <si>
    <t>43.61</t>
  </si>
  <si>
    <t>51.11</t>
  </si>
  <si>
    <t>52.11</t>
  </si>
  <si>
    <t>46.61</t>
  </si>
  <si>
    <t>58.91</t>
  </si>
  <si>
    <t>47.11</t>
  </si>
  <si>
    <t>51.61</t>
  </si>
  <si>
    <t>56.11</t>
  </si>
  <si>
    <t>FAM0572 SS23 DEICHMANN</t>
  </si>
  <si>
    <t>95.11</t>
  </si>
  <si>
    <t>COR2022000000444</t>
  </si>
  <si>
    <t>n</t>
  </si>
  <si>
    <t>COR2022000000450</t>
  </si>
  <si>
    <t>08122022</t>
  </si>
  <si>
    <t>FAM0323 SS23</t>
  </si>
  <si>
    <t>FAW0414 SS23</t>
  </si>
  <si>
    <t>92.61</t>
  </si>
  <si>
    <t>90.11</t>
  </si>
  <si>
    <t>TexFortis Soccer Jersey</t>
  </si>
  <si>
    <t>TF-FA-01</t>
  </si>
  <si>
    <t>TIARET crew sweat</t>
  </si>
  <si>
    <t>FAW0633</t>
  </si>
  <si>
    <t>FAW0633 AW23</t>
  </si>
  <si>
    <t>BOMS loose fit tee</t>
  </si>
  <si>
    <t>FAW0594</t>
  </si>
  <si>
    <t>FAW0594 AW23</t>
  </si>
  <si>
    <t>BOROD loose fit  crew sweat</t>
  </si>
  <si>
    <t>FAW0593</t>
  </si>
  <si>
    <t>FAW0593 AW23</t>
  </si>
  <si>
    <t>BOEN loose fit sweat pants</t>
  </si>
  <si>
    <t>FAW0592</t>
  </si>
  <si>
    <t>FAW0592 AW23</t>
  </si>
  <si>
    <t>BITZ loose fit hoodie</t>
  </si>
  <si>
    <t>FAW0591</t>
  </si>
  <si>
    <t>FAW0591 AW23</t>
  </si>
  <si>
    <t>CHELLES cropped top</t>
  </si>
  <si>
    <t>FAW0574</t>
  </si>
  <si>
    <t>FAW0574 AW23</t>
  </si>
  <si>
    <t>CARASSONNE tee</t>
  </si>
  <si>
    <t>FAW0573</t>
  </si>
  <si>
    <t>FAW0573 AW23</t>
  </si>
  <si>
    <t>CERGY high waist leggings</t>
  </si>
  <si>
    <t>FAW0571</t>
  </si>
  <si>
    <t>FAW0571 AW23</t>
  </si>
  <si>
    <t>CHATOU pants</t>
  </si>
  <si>
    <t>FAW0567 GW</t>
  </si>
  <si>
    <t>FAW0567 AW23</t>
  </si>
  <si>
    <t>CENON short thights</t>
  </si>
  <si>
    <t>FAW0564</t>
  </si>
  <si>
    <t>FAW0564 AW23</t>
  </si>
  <si>
    <t>CASTRES cropped troyer shirt</t>
  </si>
  <si>
    <t>FAW0562 GW</t>
  </si>
  <si>
    <t>FAW0562 AW23</t>
  </si>
  <si>
    <t>BALIMO high waist sweatpants</t>
  </si>
  <si>
    <t>FAW0559</t>
  </si>
  <si>
    <t>FAW0559 AW23</t>
  </si>
  <si>
    <t>BAALBERGE cropped hoody</t>
  </si>
  <si>
    <t>FAW0457</t>
  </si>
  <si>
    <t>FAW0457 AW23</t>
  </si>
  <si>
    <t>BRANDENBURG high waist shorts</t>
  </si>
  <si>
    <t>FAW0453</t>
  </si>
  <si>
    <t>FAW0453 AW23</t>
  </si>
  <si>
    <t>BENIDORM track pants</t>
  </si>
  <si>
    <t>FAW0415</t>
  </si>
  <si>
    <t>FAW0415 AW23</t>
  </si>
  <si>
    <t>BENIDORM track jacket</t>
  </si>
  <si>
    <t>FAW0414</t>
  </si>
  <si>
    <t>FAW0414 AW23</t>
  </si>
  <si>
    <t>BIBINJE hoody</t>
  </si>
  <si>
    <t>FAW0411</t>
  </si>
  <si>
    <t>FAW0411 AW23</t>
  </si>
  <si>
    <t>BIALYSTOK crew sweat</t>
  </si>
  <si>
    <t>FAW0410</t>
  </si>
  <si>
    <t>FAW0410 AW23</t>
  </si>
  <si>
    <t>CROLLES dropped crotch pants</t>
  </si>
  <si>
    <t>FAM0561 GW</t>
  </si>
  <si>
    <t>FAM0561 AW23</t>
  </si>
  <si>
    <t>TOYOHASHI polo long sleeve shirt</t>
  </si>
  <si>
    <t>FAM0560</t>
  </si>
  <si>
    <t>FAM0560 AW23</t>
  </si>
  <si>
    <t>TOUBA PANTS</t>
  </si>
  <si>
    <t>FAM0548</t>
  </si>
  <si>
    <t>FAM0548 AW23</t>
  </si>
  <si>
    <t>TOUBA hoody</t>
  </si>
  <si>
    <t>FAM0542</t>
  </si>
  <si>
    <t>FAM0542 AW23</t>
  </si>
  <si>
    <t>TABRIZ Hoody</t>
  </si>
  <si>
    <t>FAM0541</t>
  </si>
  <si>
    <t>FAM0541 AW23</t>
  </si>
  <si>
    <t>TOLUCA polo sweat shirt</t>
  </si>
  <si>
    <t>FAM0540</t>
  </si>
  <si>
    <t>FAM0540 AW23</t>
  </si>
  <si>
    <t>TANGGU dropped shoulder tee</t>
  </si>
  <si>
    <t>FAM0538</t>
  </si>
  <si>
    <t>FAM0538 AW23</t>
  </si>
  <si>
    <t>TRIPOLI dropped shoulder tee</t>
  </si>
  <si>
    <t>FAM0536</t>
  </si>
  <si>
    <t>FAM0536 AW23</t>
  </si>
  <si>
    <t>BERKAU loose fit tee</t>
  </si>
  <si>
    <t>FAM0506</t>
  </si>
  <si>
    <t>FAM0506 AW23</t>
  </si>
  <si>
    <t>BRAND loose fit crew sweat</t>
  </si>
  <si>
    <t>FAM0505</t>
  </si>
  <si>
    <t>FAM0505 AW23</t>
  </si>
  <si>
    <t>BIERE loose fit sweat pants</t>
  </si>
  <si>
    <t>FAM0504</t>
  </si>
  <si>
    <t>FAM0504 AW23</t>
  </si>
  <si>
    <t>BENZ lose fit hoodie</t>
  </si>
  <si>
    <t>FAM0503</t>
  </si>
  <si>
    <t>FAM0503 AW23</t>
  </si>
  <si>
    <t>CORBIE baggy shorts</t>
  </si>
  <si>
    <t>FAM0497 GW</t>
  </si>
  <si>
    <t>FAM0497 AW23</t>
  </si>
  <si>
    <t>COURSAN polo shirt</t>
  </si>
  <si>
    <t>FAM0496 GW</t>
  </si>
  <si>
    <t>FAM0496 AW23</t>
  </si>
  <si>
    <t>CRAPONNE crew neck</t>
  </si>
  <si>
    <t>FAM0491</t>
  </si>
  <si>
    <t>FAM0491 AW23</t>
  </si>
  <si>
    <t>CROIX tee</t>
  </si>
  <si>
    <t>FAM0487</t>
  </si>
  <si>
    <t>FAM0487 AW23</t>
  </si>
  <si>
    <t>COULAINES pants</t>
  </si>
  <si>
    <t>FAM0486 GW</t>
  </si>
  <si>
    <t>FAM0486 AW23</t>
  </si>
  <si>
    <t>CAVAILLON GW hoody</t>
  </si>
  <si>
    <t>FAM0485 GW</t>
  </si>
  <si>
    <t>FAM0485 AW23</t>
  </si>
  <si>
    <t>BOTTROP track pants</t>
  </si>
  <si>
    <t>FAM0324</t>
  </si>
  <si>
    <t>FAM0324 AW23</t>
  </si>
  <si>
    <t>BOTTROP track jacket</t>
  </si>
  <si>
    <t>FAM0323</t>
  </si>
  <si>
    <t>FAM0323 AW23</t>
  </si>
  <si>
    <t>BISCEGLIE hoody</t>
  </si>
  <si>
    <t>FAM0321</t>
  </si>
  <si>
    <t>FAM0321 AW23</t>
  </si>
  <si>
    <t>BILECIK raglan crew sweat</t>
  </si>
  <si>
    <t>FAM0320</t>
  </si>
  <si>
    <t>FAM0320 AW23</t>
  </si>
  <si>
    <t>PERSONAL SHOP BERMUDA</t>
  </si>
  <si>
    <t>740088</t>
  </si>
  <si>
    <t>740088 SS23</t>
  </si>
  <si>
    <t>PERSONAL SHOP TEE</t>
  </si>
  <si>
    <t>740087</t>
  </si>
  <si>
    <t>740087 SS23</t>
  </si>
  <si>
    <t>Half neck fleece</t>
  </si>
  <si>
    <t>VTMTS448704</t>
  </si>
  <si>
    <t>VR 46 MOONEY 448704 W23</t>
  </si>
  <si>
    <t>Women Polo</t>
  </si>
  <si>
    <t>VTMTS448614</t>
  </si>
  <si>
    <t>VR 46 MOONEY 448614 W23</t>
  </si>
  <si>
    <t>MAN POLO</t>
  </si>
  <si>
    <t>VTMTS448604</t>
  </si>
  <si>
    <t>VR 46 MOONEY 448604 W23</t>
  </si>
  <si>
    <t>Women T-shirt</t>
  </si>
  <si>
    <t>VTMTS448514</t>
  </si>
  <si>
    <t>VR 46 MOONEY 448514 W23</t>
  </si>
  <si>
    <t>MAN T-SHIRT</t>
  </si>
  <si>
    <t>VTMTS448504</t>
  </si>
  <si>
    <t>VR 46 MOONEY 448504 W23</t>
  </si>
  <si>
    <t>Man pants</t>
  </si>
  <si>
    <t>VTMTS 448404</t>
  </si>
  <si>
    <t>VR 46 MOONEY 448404 W23</t>
  </si>
  <si>
    <t>Man short  pants</t>
  </si>
  <si>
    <t>VTMTS448304</t>
  </si>
  <si>
    <t>VR 46 MOONEY 448304 W23</t>
  </si>
  <si>
    <t>Tamaris AW23 SMS</t>
  </si>
  <si>
    <t>TAMARIS W23 SMS</t>
  </si>
  <si>
    <t>COBBEL high waist shorts</t>
  </si>
  <si>
    <t>FAW0501</t>
  </si>
  <si>
    <t>CHORIN high waist pants</t>
  </si>
  <si>
    <t>FAW0500</t>
  </si>
  <si>
    <t>CRIVITZ cropped hoody</t>
  </si>
  <si>
    <t>FAW0499</t>
  </si>
  <si>
    <t xml:space="preserve"> BISIGNANO hoody</t>
  </si>
  <si>
    <t>FAW0460</t>
  </si>
  <si>
    <t>FAW0460 SS23</t>
  </si>
  <si>
    <t>BELLEGARDE track pants</t>
  </si>
  <si>
    <t>FAW0458</t>
  </si>
  <si>
    <t>BALVE high waist sweat pants</t>
  </si>
  <si>
    <t>FAW0446</t>
  </si>
  <si>
    <t>BAULER high waist sweat pants</t>
  </si>
  <si>
    <t>FAW0445</t>
  </si>
  <si>
    <t>FAW0445 SS23</t>
  </si>
  <si>
    <t>BAKUM oversized sweat hoodie</t>
  </si>
  <si>
    <t>FAW0444</t>
  </si>
  <si>
    <t>BANN oversized crew sweat</t>
  </si>
  <si>
    <t>FAW0443</t>
  </si>
  <si>
    <t>COLLIOURE AOP high waist pants</t>
  </si>
  <si>
    <t>FAW0418</t>
  </si>
  <si>
    <t>CAMBRILS high waist shorts</t>
  </si>
  <si>
    <t>FAW0417</t>
  </si>
  <si>
    <t>FAW0415 SS23</t>
  </si>
  <si>
    <t>CEVIRA skirt</t>
  </si>
  <si>
    <t>FAW0402</t>
  </si>
  <si>
    <t>CORCIANO oversized hoody</t>
  </si>
  <si>
    <t>FAW0400</t>
  </si>
  <si>
    <t>CASTELLAR oversized hoody</t>
  </si>
  <si>
    <t>FAW0399</t>
  </si>
  <si>
    <t>CONEGLIANO oversized hoody</t>
  </si>
  <si>
    <t>FAW0397</t>
  </si>
  <si>
    <t>CALTANISSETT high waist 7/8 pants</t>
  </si>
  <si>
    <t>FAW0396</t>
  </si>
  <si>
    <t>CHARLIEU high waist leggings</t>
  </si>
  <si>
    <t>FAW0391</t>
  </si>
  <si>
    <t>COLLIAS bike thights</t>
  </si>
  <si>
    <t>FAW0390</t>
  </si>
  <si>
    <t>CAPILEIRA cropped shirt</t>
  </si>
  <si>
    <t>FAW0387</t>
  </si>
  <si>
    <t>CORTE bra</t>
  </si>
  <si>
    <t>FAW0382</t>
  </si>
  <si>
    <t>BAIERN oversized sweat shorts</t>
  </si>
  <si>
    <t>FAM0339</t>
  </si>
  <si>
    <t>BADRA relaxed sweat pants</t>
  </si>
  <si>
    <t>FAM0338</t>
  </si>
  <si>
    <t>BAAR  oversized sweat hoodie</t>
  </si>
  <si>
    <t>FAM0333</t>
  </si>
  <si>
    <t>BABEN  oversized crew sweat</t>
  </si>
  <si>
    <t>FAM0332</t>
  </si>
  <si>
    <t>BILGORAJ track pants</t>
  </si>
  <si>
    <t>FAM0329</t>
  </si>
  <si>
    <t>BLANKAHOLM hoody</t>
  </si>
  <si>
    <t>FAM0326</t>
  </si>
  <si>
    <t>FAM0326 SS23</t>
  </si>
  <si>
    <t>BOYABAT shorts</t>
  </si>
  <si>
    <t>FAM0322</t>
  </si>
  <si>
    <t>CORRALEJO jacket</t>
  </si>
  <si>
    <t>FAM0316</t>
  </si>
  <si>
    <t>FAM0316 SS23</t>
  </si>
  <si>
    <t>CHIPUDE oversized pants</t>
  </si>
  <si>
    <t>FAM0314</t>
  </si>
  <si>
    <t>FAM0314 SS23</t>
  </si>
  <si>
    <t>CALP baggy shorts</t>
  </si>
  <si>
    <t>FAM0312</t>
  </si>
  <si>
    <t>CUENCA oversized hoody</t>
  </si>
  <si>
    <t>FAM0308</t>
  </si>
  <si>
    <t>CUENCA kimono hoodie</t>
  </si>
  <si>
    <t>FAM0307</t>
  </si>
  <si>
    <t>CASTELLAR oversized tee</t>
  </si>
  <si>
    <t>FAM0303</t>
  </si>
  <si>
    <t>ORBIS crew sweat</t>
  </si>
  <si>
    <t>FAM0579</t>
  </si>
  <si>
    <t>FAM0329 SS23  ilave</t>
  </si>
  <si>
    <t>DIKMEN high waist shorts</t>
  </si>
  <si>
    <t>FAW0692</t>
  </si>
  <si>
    <t>FAW0692 SS23  DEICHMANN</t>
  </si>
  <si>
    <t>DOLAPDERE cropped hoody</t>
  </si>
  <si>
    <t>FAW0691</t>
  </si>
  <si>
    <t>FAW0691 SS23 DEICHMANN</t>
  </si>
  <si>
    <t>DAKAR high waist pants</t>
  </si>
  <si>
    <t>FAW0686</t>
  </si>
  <si>
    <t>FAW0686 SS23 DEICHMANN</t>
  </si>
  <si>
    <t>DURHAM cropped tee</t>
  </si>
  <si>
    <t>FAW0685</t>
  </si>
  <si>
    <t>DUZCE tee</t>
  </si>
  <si>
    <t>FAW0652</t>
  </si>
  <si>
    <t>FAW0633 AW SMS</t>
  </si>
  <si>
    <t>FAW0594 AW23 SMS</t>
  </si>
  <si>
    <t>FAW0593 AW23 SMS</t>
  </si>
  <si>
    <t>FAW0592 AW23 SMS</t>
  </si>
  <si>
    <t>FAW0591 AW23 SMS</t>
  </si>
  <si>
    <t>FAW0567</t>
  </si>
  <si>
    <t>CACHAN cropped hoody</t>
  </si>
  <si>
    <t>FAW0566</t>
  </si>
  <si>
    <t>FAW0562</t>
  </si>
  <si>
    <t>FAW0559 AW23 SMS</t>
  </si>
  <si>
    <t>FAW0501 AW23 SMS</t>
  </si>
  <si>
    <t>FAW0500 AW23 SMS</t>
  </si>
  <si>
    <t>FAW0499 AW23 SMS</t>
  </si>
  <si>
    <t>FAW0457 AW23 SMS</t>
  </si>
  <si>
    <t>FAW0453 AW23 SMS</t>
  </si>
  <si>
    <t>FAW0415 AW23 SMS</t>
  </si>
  <si>
    <t>FAW0414 AW23 SMS</t>
  </si>
  <si>
    <t>FAW0411 AW23 SMS</t>
  </si>
  <si>
    <t>FAW0410 AW23 SMS</t>
  </si>
  <si>
    <t>FAM0605</t>
  </si>
  <si>
    <t>DAXING shorts</t>
  </si>
  <si>
    <t>FAM0573</t>
  </si>
  <si>
    <t>FAM0573 SS23 DEICHMANN</t>
  </si>
  <si>
    <t>DANANE track jacket</t>
  </si>
  <si>
    <t>FAM0572</t>
  </si>
  <si>
    <t>DHAMAR track pants</t>
  </si>
  <si>
    <t>FAM0571</t>
  </si>
  <si>
    <t>DOBRICH sweat pants</t>
  </si>
  <si>
    <t>FAM0566</t>
  </si>
  <si>
    <t>DENIZLI oversized hoody</t>
  </si>
  <si>
    <t>FAM0565</t>
  </si>
  <si>
    <t>DELGODA oversized tee</t>
  </si>
  <si>
    <t>FAM0564</t>
  </si>
  <si>
    <t>DAVIE tee</t>
  </si>
  <si>
    <t>FAM0563</t>
  </si>
  <si>
    <t>FAM0561</t>
  </si>
  <si>
    <t>FAM0560 AW23 SMS</t>
  </si>
  <si>
    <t>FAM0542 AW23 SMS</t>
  </si>
  <si>
    <t>FAM0541 AW23 SMS</t>
  </si>
  <si>
    <t>FAM0540 AW23 SMS</t>
  </si>
  <si>
    <t>FAM0538 AW23 SMS</t>
  </si>
  <si>
    <t>FAM0536 AW23 SMS</t>
  </si>
  <si>
    <t>FAM0506 AW23 SMS</t>
  </si>
  <si>
    <t>FAM0505 AW23 SMS</t>
  </si>
  <si>
    <t>FAM0504 AW23 SMS</t>
  </si>
  <si>
    <t>FAM0503 AW23 SMS</t>
  </si>
  <si>
    <t>FAM0496</t>
  </si>
  <si>
    <t>FAM0496 AW23 SMS</t>
  </si>
  <si>
    <t>FAM0491 AW23 SMS</t>
  </si>
  <si>
    <t>FAM0487 AW23 SMS</t>
  </si>
  <si>
    <t>FAM0486</t>
  </si>
  <si>
    <t>FAM0486 AW23 SMS</t>
  </si>
  <si>
    <t>CAVAILLON hoody</t>
  </si>
  <si>
    <t>FAM0485</t>
  </si>
  <si>
    <t>FAM0485 AW23 SMS</t>
  </si>
  <si>
    <t>FAM0324 AW23 SMS</t>
  </si>
  <si>
    <t>FAM0323 AW23 SMS</t>
  </si>
  <si>
    <t>FAM0321 AW23 SMS</t>
  </si>
  <si>
    <t>FAM0320 AW23 SMS</t>
  </si>
  <si>
    <t>FILA AW23 SMS</t>
  </si>
  <si>
    <t>AW23 SMS</t>
  </si>
  <si>
    <t>Tamaris Bulk Production</t>
  </si>
  <si>
    <t>TAMARIS SS23</t>
  </si>
  <si>
    <t>taw0032</t>
  </si>
  <si>
    <t>TAW0031</t>
  </si>
  <si>
    <t>TAW0030</t>
  </si>
  <si>
    <t>TAW0029</t>
  </si>
  <si>
    <t>TAW0000</t>
  </si>
  <si>
    <t>AGADEZ AOP floaty skirt</t>
  </si>
  <si>
    <t>AGADEZ floaty skirt</t>
  </si>
  <si>
    <t>DARU high waist leggings</t>
  </si>
  <si>
    <t>FAW0657</t>
  </si>
  <si>
    <t>DENVER cropped pants</t>
  </si>
  <si>
    <t>FAW0656</t>
  </si>
  <si>
    <t>DABRA  track jacket</t>
  </si>
  <si>
    <t>FAW0655</t>
  </si>
  <si>
    <t>DADU hoody</t>
  </si>
  <si>
    <t>FAW0654</t>
  </si>
  <si>
    <t>DOLPA cropped hoody</t>
  </si>
  <si>
    <t>FAW0653</t>
  </si>
  <si>
    <t>DALLAS high waist sweat pants</t>
  </si>
  <si>
    <t>FAW0651</t>
  </si>
  <si>
    <t>DATCA cropped tee</t>
  </si>
  <si>
    <t>FAW0650</t>
  </si>
  <si>
    <t>DETROIT hoody sweat</t>
  </si>
  <si>
    <t>FAW0649</t>
  </si>
  <si>
    <t>DEVA sweatshırt</t>
  </si>
  <si>
    <t>FAM0570</t>
  </si>
  <si>
    <t>DERIM sweat pant</t>
  </si>
  <si>
    <t>FAM0569</t>
  </si>
  <si>
    <t>DROBETA sweat pant</t>
  </si>
  <si>
    <t>FAM0568</t>
  </si>
  <si>
    <t>DOURADOS track jacket</t>
  </si>
  <si>
    <t>FAM0567</t>
  </si>
  <si>
    <t>DALAMAN blocked hoody</t>
  </si>
  <si>
    <t>FAM0562</t>
  </si>
  <si>
    <t>Unisex down Jacket</t>
  </si>
  <si>
    <t>VTMTS448904</t>
  </si>
  <si>
    <t>VR 46 MOONEY 448904</t>
  </si>
  <si>
    <t>Unisex vest jacket</t>
  </si>
  <si>
    <t>VTMTS448804</t>
  </si>
  <si>
    <t>VR 46 MOONEY 448804</t>
  </si>
  <si>
    <t>VR 46 MOONEY 448704</t>
  </si>
  <si>
    <t>VR 46 MOONEY 448604</t>
  </si>
  <si>
    <t>VR 46 MOONEY 448504</t>
  </si>
  <si>
    <t>C40 CROPPED TEE</t>
  </si>
  <si>
    <t>FAW0365</t>
  </si>
  <si>
    <t>C43 JOGGER</t>
  </si>
  <si>
    <t>FAW0364</t>
  </si>
  <si>
    <t>C38 CROPPED HOODY</t>
  </si>
  <si>
    <t>FAW0344</t>
  </si>
  <si>
    <t>C42 JOGGER</t>
  </si>
  <si>
    <t>FAM0275</t>
  </si>
  <si>
    <t>C41 OVERSIZED LOGO TEE</t>
  </si>
  <si>
    <t>FAM0274</t>
  </si>
  <si>
    <t>C35 HOODY</t>
  </si>
  <si>
    <t>FAM0255</t>
  </si>
  <si>
    <t>C34 CREW SWEAT</t>
  </si>
  <si>
    <t>FAM0254</t>
  </si>
  <si>
    <t>BAGOD pants</t>
  </si>
  <si>
    <t>FAW0406</t>
  </si>
  <si>
    <t>BISCHKEK hoody</t>
  </si>
  <si>
    <t>FAW0405</t>
  </si>
  <si>
    <t>BUEK</t>
  </si>
  <si>
    <t>FAT0201</t>
  </si>
  <si>
    <t>BAGOD</t>
  </si>
  <si>
    <t>FAT0200</t>
  </si>
  <si>
    <t>BISCHKEK</t>
  </si>
  <si>
    <t>FAT0199</t>
  </si>
  <si>
    <t>BUDIMIR tee</t>
  </si>
  <si>
    <t>FAT0132</t>
  </si>
  <si>
    <t>BINGHAMTON crew raglan</t>
  </si>
  <si>
    <t>FAT0131</t>
  </si>
  <si>
    <t>BEVERSTEDT tee</t>
  </si>
  <si>
    <t>FAT0122</t>
  </si>
  <si>
    <t>BRÜHL high waist pants</t>
  </si>
  <si>
    <t>FAT0121</t>
  </si>
  <si>
    <t>BRADFORD cropped crew</t>
  </si>
  <si>
    <t>FAT0120</t>
  </si>
  <si>
    <t>BUEK tee</t>
  </si>
  <si>
    <t>FAW0407</t>
  </si>
  <si>
    <t>BARUMINI hoody</t>
  </si>
  <si>
    <t>FAU0068</t>
  </si>
  <si>
    <t>FAM0279</t>
  </si>
  <si>
    <t>FAM0278</t>
  </si>
  <si>
    <t>FAM0277</t>
  </si>
  <si>
    <t>BANSKO cropped crew sweat</t>
  </si>
  <si>
    <t>FAW0255</t>
  </si>
  <si>
    <t xml:space="preserve">BANDIRMA high waist sweat pants </t>
  </si>
  <si>
    <t>FAW0254</t>
  </si>
  <si>
    <t>BAICOI hoody</t>
  </si>
  <si>
    <t>FAW0253</t>
  </si>
  <si>
    <t>BOHINJ sweat crew</t>
  </si>
  <si>
    <t>FAM0161</t>
  </si>
  <si>
    <t>BASKA sweat pants</t>
  </si>
  <si>
    <t>FAM0160</t>
  </si>
  <si>
    <t>BELTINCI hoody</t>
  </si>
  <si>
    <t>FAM0159</t>
  </si>
  <si>
    <t>BELLEGARDE track jacket</t>
  </si>
  <si>
    <t>FAW0459</t>
  </si>
  <si>
    <t>BILGORAJ track jacket</t>
  </si>
  <si>
    <t>FAM0328</t>
  </si>
  <si>
    <t>Order Adedi</t>
  </si>
  <si>
    <t>Model Adı</t>
  </si>
  <si>
    <t>Model No</t>
  </si>
  <si>
    <t>Order No</t>
  </si>
  <si>
    <t>s</t>
  </si>
  <si>
    <t>Size1</t>
  </si>
  <si>
    <t>Size2</t>
  </si>
  <si>
    <t>Size3</t>
  </si>
  <si>
    <t>Size4</t>
  </si>
  <si>
    <t>Size5</t>
  </si>
  <si>
    <t>Size6</t>
  </si>
  <si>
    <t>Size7</t>
  </si>
  <si>
    <t>DURUM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</si>
</sst>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,###"/>
  </numFmts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3" borderId="1" xfId="1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0BDE-5606-457B-8CA7-5F8218C91DE5}">
  <sheetPr>
    <pageSetUpPr fitToPage="1"/>
  </sheetPr>
  <dimension ref="A1:W21"/>
  <sheetViews>
    <sheetView zoomScale="55" zoomScaleNormal="55" workbookViewId="0">
      <selection activeCell="H2" sqref="H2:H7"/>
    </sheetView>
  </sheetViews>
  <sheetFormatPr defaultColWidth="9.109375" defaultRowHeight="14.4" x14ac:dyDescent="0.3"/>
  <cols>
    <col min="1" max="1" width="18" style="1" bestFit="1" customWidth="1"/>
    <col min="2" max="2" width="18.21875" style="1" bestFit="1" customWidth="1"/>
    <col min="3" max="3" width="21.88671875" style="1" bestFit="1" customWidth="1"/>
    <col min="4" max="4" width="17.21875" style="1" bestFit="1" customWidth="1"/>
    <col min="5" max="5" width="10" style="1" bestFit="1" customWidth="1"/>
    <col min="6" max="6" width="19.44140625" style="1" customWidth="1"/>
    <col min="7" max="7" width="19.6640625" style="1" bestFit="1" customWidth="1"/>
    <col min="8" max="8" width="25.5546875" style="1" bestFit="1" customWidth="1"/>
    <col min="9" max="15" width="9.33203125" style="1" bestFit="1" customWidth="1"/>
    <col min="16" max="16" width="12.33203125" style="1" bestFit="1" customWidth="1"/>
    <col min="17" max="17" width="12.21875" style="3" bestFit="1" customWidth="1"/>
    <col min="18" max="18" width="17.5546875" style="3" bestFit="1" customWidth="1"/>
    <col min="19" max="19" width="11.109375" style="1" bestFit="1" customWidth="1"/>
    <col min="20" max="20" width="11.109375" style="1" customWidth="1"/>
    <col min="21" max="21" width="16" style="1" bestFit="1" customWidth="1"/>
    <col min="22" max="22" width="9.109375" style="1"/>
    <col min="23" max="23" width="9.77734375" style="1" bestFit="1" customWidth="1"/>
    <col min="24" max="16384" width="9.109375" style="1"/>
  </cols>
  <sheetData>
    <row r="1" spans="1:23" s="2" customFormat="1" ht="25.2" customHeight="1" x14ac:dyDescent="0.3">
      <c r="A1" s="5" t="s">
        <v>20</v>
      </c>
      <c r="B1" s="5" t="s">
        <v>2</v>
      </c>
      <c r="C1" s="5" t="s">
        <v>0</v>
      </c>
      <c r="D1" s="5" t="s">
        <v>1</v>
      </c>
      <c r="E1" s="5" t="s">
        <v>19</v>
      </c>
      <c r="F1" s="5" t="s">
        <v>3</v>
      </c>
      <c r="G1" s="5" t="s">
        <v>4</v>
      </c>
      <c r="H1" s="5" t="s">
        <v>5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18</v>
      </c>
      <c r="P1" s="5" t="s">
        <v>6</v>
      </c>
      <c r="Q1" s="7" t="s">
        <v>7</v>
      </c>
      <c r="R1" s="7" t="s">
        <v>8</v>
      </c>
      <c r="S1" s="5" t="s">
        <v>9</v>
      </c>
      <c r="T1" s="5" t="s">
        <v>120</v>
      </c>
      <c r="U1" s="5" t="s">
        <v>21</v>
      </c>
    </row>
    <row r="2" spans="1:23" x14ac:dyDescent="0.3">
      <c r="A2" s="9">
        <v>801</v>
      </c>
      <c r="B2" s="15" t="s">
        <v>147</v>
      </c>
      <c r="C2" s="16" t="s">
        <v>146</v>
      </c>
      <c r="D2" s="15" t="str">
        <f>B2</f>
        <v>08122022</v>
      </c>
      <c r="E2" s="9" t="s">
        <v>17</v>
      </c>
      <c r="F2" s="16" t="str">
        <f t="shared" ref="F2" si="0">C2</f>
        <v>COR2022000000450</v>
      </c>
      <c r="G2" s="6" t="s">
        <v>24</v>
      </c>
      <c r="H2" s="6" t="s">
        <v>148</v>
      </c>
      <c r="I2" s="6">
        <v>0</v>
      </c>
      <c r="J2" s="6">
        <v>22</v>
      </c>
      <c r="K2" s="6">
        <v>0</v>
      </c>
      <c r="L2" s="6">
        <v>0</v>
      </c>
      <c r="M2" s="6" t="s">
        <v>27</v>
      </c>
      <c r="N2" s="6" t="s">
        <v>27</v>
      </c>
      <c r="O2" s="6" t="s">
        <v>27</v>
      </c>
      <c r="P2" s="9" t="s">
        <v>16</v>
      </c>
      <c r="Q2" s="11" t="s">
        <v>57</v>
      </c>
      <c r="R2" s="12" t="s">
        <v>150</v>
      </c>
      <c r="S2" s="6">
        <v>8</v>
      </c>
      <c r="T2" s="17" t="s">
        <v>145</v>
      </c>
      <c r="U2" s="14" t="s">
        <v>22</v>
      </c>
      <c r="W2" s="1" t="b">
        <f>_xlfn.XLOOKUP(H2,'Order no'!$A$3:$A$255,'Order no'!$E$3:$E$255,FALSE)</f>
        <v>1</v>
      </c>
    </row>
    <row r="3" spans="1:23" x14ac:dyDescent="0.3">
      <c r="A3" s="9">
        <v>801</v>
      </c>
      <c r="B3" s="15" t="s">
        <v>147</v>
      </c>
      <c r="C3" s="16" t="s">
        <v>146</v>
      </c>
      <c r="D3" s="15" t="str">
        <f t="shared" ref="D3" si="1">B3</f>
        <v>08122022</v>
      </c>
      <c r="E3" s="9" t="s">
        <v>17</v>
      </c>
      <c r="F3" s="16" t="str">
        <f t="shared" ref="F3" si="2">C3</f>
        <v>COR2022000000450</v>
      </c>
      <c r="G3" s="6" t="s">
        <v>24</v>
      </c>
      <c r="H3" s="6" t="s">
        <v>149</v>
      </c>
      <c r="I3" s="6">
        <v>0</v>
      </c>
      <c r="J3" s="6">
        <v>12</v>
      </c>
      <c r="K3" s="6">
        <v>0</v>
      </c>
      <c r="L3" s="6">
        <v>0</v>
      </c>
      <c r="M3" s="6" t="s">
        <v>27</v>
      </c>
      <c r="N3" s="6" t="s">
        <v>27</v>
      </c>
      <c r="O3" s="6" t="s">
        <v>27</v>
      </c>
      <c r="P3" s="9" t="s">
        <v>16</v>
      </c>
      <c r="Q3" s="11" t="s">
        <v>57</v>
      </c>
      <c r="R3" s="12" t="s">
        <v>151</v>
      </c>
      <c r="S3" s="6">
        <v>8</v>
      </c>
      <c r="T3" s="17" t="s">
        <v>145</v>
      </c>
      <c r="U3" s="14" t="s">
        <v>22</v>
      </c>
      <c r="W3" s="1" t="b">
        <f>_xlfn.XLOOKUP(H3,'Order no'!$A$3:$A$255,'Order no'!$E$3:$E$255,FALSE)</f>
        <v>1</v>
      </c>
    </row>
    <row r="4" spans="1:23" x14ac:dyDescent="0.3">
      <c r="A4" s="9"/>
      <c r="B4" s="15"/>
      <c r="C4" s="16"/>
      <c r="D4" s="15"/>
      <c r="E4" s="9"/>
      <c r="F4" s="16"/>
      <c r="G4" s="6"/>
      <c r="H4" s="6"/>
      <c r="I4" s="6"/>
      <c r="J4" s="6"/>
      <c r="K4" s="6"/>
      <c r="L4" s="6"/>
      <c r="M4" s="6"/>
      <c r="N4" s="6"/>
      <c r="O4" s="6"/>
      <c r="P4" s="9"/>
      <c r="Q4" s="11"/>
      <c r="R4" s="12"/>
      <c r="S4" s="6"/>
      <c r="T4" s="17"/>
      <c r="U4" s="14"/>
      <c r="W4" s="1" t="b">
        <f>_xlfn.XLOOKUP(H4,'Order no'!$A$3:$A$255,'Order no'!$E$3:$E$255,FALSE)</f>
        <v>0</v>
      </c>
    </row>
    <row r="5" spans="1:23" x14ac:dyDescent="0.3">
      <c r="A5" s="9"/>
      <c r="B5" s="15"/>
      <c r="C5" s="16"/>
      <c r="D5" s="15"/>
      <c r="E5" s="9"/>
      <c r="F5" s="16"/>
      <c r="G5" s="6"/>
      <c r="H5" s="6"/>
      <c r="I5" s="6"/>
      <c r="J5" s="6"/>
      <c r="K5" s="6"/>
      <c r="L5" s="6"/>
      <c r="M5" s="6"/>
      <c r="N5" s="6"/>
      <c r="O5" s="6"/>
      <c r="P5" s="9"/>
      <c r="Q5" s="11"/>
      <c r="R5" s="12"/>
      <c r="S5" s="6"/>
      <c r="T5" s="17"/>
      <c r="U5" s="14"/>
      <c r="W5" s="1" t="b">
        <f>_xlfn.XLOOKUP(H5,'Order no'!$A$3:$A$255,'Order no'!$E$3:$E$255,FALSE)</f>
        <v>0</v>
      </c>
    </row>
    <row r="6" spans="1:23" x14ac:dyDescent="0.3">
      <c r="A6" s="9"/>
      <c r="B6" s="15"/>
      <c r="C6" s="16"/>
      <c r="D6" s="15"/>
      <c r="E6" s="9"/>
      <c r="F6" s="16"/>
      <c r="G6" s="6"/>
      <c r="H6" s="6"/>
      <c r="I6" s="6"/>
      <c r="J6" s="6"/>
      <c r="K6" s="6"/>
      <c r="L6" s="6"/>
      <c r="M6" s="6"/>
      <c r="N6" s="6"/>
      <c r="O6" s="6"/>
      <c r="P6" s="9"/>
      <c r="Q6" s="11"/>
      <c r="R6" s="12"/>
      <c r="S6" s="6"/>
      <c r="T6" s="17"/>
      <c r="U6" s="14"/>
      <c r="W6" s="1" t="b">
        <f>_xlfn.XLOOKUP(H6,'Order no'!$A$3:$A$255,'Order no'!$E$3:$E$255,FALSE)</f>
        <v>0</v>
      </c>
    </row>
    <row r="7" spans="1:23" x14ac:dyDescent="0.3">
      <c r="A7" s="9"/>
      <c r="B7" s="15"/>
      <c r="C7" s="16"/>
      <c r="D7" s="15"/>
      <c r="E7" s="9"/>
      <c r="F7" s="16"/>
      <c r="G7" s="6"/>
      <c r="H7" s="6"/>
      <c r="I7" s="6"/>
      <c r="J7" s="6"/>
      <c r="K7" s="6"/>
      <c r="L7" s="6"/>
      <c r="M7" s="6"/>
      <c r="N7" s="6"/>
      <c r="O7" s="6"/>
      <c r="P7" s="9"/>
      <c r="Q7" s="11"/>
      <c r="R7" s="12"/>
      <c r="S7" s="6"/>
      <c r="T7" s="17"/>
      <c r="U7" s="14"/>
      <c r="W7" s="1" t="b">
        <f>_xlfn.XLOOKUP(H7,'Order no'!$A$3:$A$255,'Order no'!$E$3:$E$255,FALSE)</f>
        <v>0</v>
      </c>
    </row>
    <row r="8" spans="1:23" x14ac:dyDescent="0.3">
      <c r="A8" s="9"/>
      <c r="B8" s="15"/>
      <c r="C8" s="16"/>
      <c r="D8" s="15"/>
      <c r="E8" s="9"/>
      <c r="F8" s="16"/>
      <c r="G8" s="6"/>
      <c r="H8" s="6"/>
      <c r="I8" s="6"/>
      <c r="J8" s="6"/>
      <c r="K8" s="6"/>
      <c r="L8" s="6"/>
      <c r="M8" s="6"/>
      <c r="N8" s="6"/>
      <c r="O8" s="6"/>
      <c r="P8" s="9"/>
      <c r="Q8" s="11"/>
      <c r="R8" s="12"/>
      <c r="S8" s="6"/>
      <c r="T8" s="17"/>
      <c r="U8" s="14"/>
      <c r="W8" s="1" t="b">
        <f>_xlfn.XLOOKUP(H8,'Order no'!$A$3:$A$255,'Order no'!$E$3:$E$255,FALSE)</f>
        <v>0</v>
      </c>
    </row>
    <row r="9" spans="1:23" x14ac:dyDescent="0.3">
      <c r="A9" s="9"/>
      <c r="B9" s="15"/>
      <c r="C9" s="16"/>
      <c r="D9" s="15"/>
      <c r="E9" s="9"/>
      <c r="F9" s="16"/>
      <c r="G9" s="6"/>
      <c r="H9" s="6"/>
      <c r="I9" s="6"/>
      <c r="J9" s="6"/>
      <c r="K9" s="6"/>
      <c r="L9" s="6"/>
      <c r="M9" s="6"/>
      <c r="N9" s="6"/>
      <c r="O9" s="6"/>
      <c r="P9" s="9"/>
      <c r="Q9" s="11"/>
      <c r="R9" s="12"/>
      <c r="S9" s="6"/>
      <c r="T9" s="17"/>
      <c r="U9" s="14"/>
      <c r="W9" s="1" t="b">
        <f>_xlfn.XLOOKUP(H9,'Order no'!$A$3:$A$255,'Order no'!$E$3:$E$255,FALSE)</f>
        <v>0</v>
      </c>
    </row>
    <row r="10" spans="1:23" x14ac:dyDescent="0.3">
      <c r="A10" s="9"/>
      <c r="B10" s="15"/>
      <c r="C10" s="16"/>
      <c r="D10" s="15"/>
      <c r="E10" s="9"/>
      <c r="F10" s="16"/>
      <c r="G10" s="6"/>
      <c r="H10" s="6"/>
      <c r="I10" s="6"/>
      <c r="J10" s="6"/>
      <c r="K10" s="6"/>
      <c r="L10" s="6"/>
      <c r="M10" s="6"/>
      <c r="N10" s="6"/>
      <c r="O10" s="6"/>
      <c r="P10" s="9"/>
      <c r="Q10" s="11"/>
      <c r="R10" s="12"/>
      <c r="S10" s="6"/>
      <c r="T10" s="17"/>
      <c r="U10" s="14"/>
      <c r="W10" s="1" t="b">
        <f>_xlfn.XLOOKUP(H10,'Order no'!$A$3:$A$255,'Order no'!$E$3:$E$255,FALSE)</f>
        <v>0</v>
      </c>
    </row>
    <row r="11" spans="1:23" x14ac:dyDescent="0.3">
      <c r="A11" s="9"/>
      <c r="B11" s="15"/>
      <c r="C11" s="16"/>
      <c r="D11" s="15"/>
      <c r="E11" s="9"/>
      <c r="F11" s="16"/>
      <c r="G11" s="6"/>
      <c r="H11" s="6"/>
      <c r="I11" s="6"/>
      <c r="J11" s="6"/>
      <c r="K11" s="6"/>
      <c r="L11" s="6"/>
      <c r="M11" s="6"/>
      <c r="N11" s="6"/>
      <c r="O11" s="6"/>
      <c r="P11" s="9"/>
      <c r="Q11" s="11"/>
      <c r="R11" s="12"/>
      <c r="S11" s="6"/>
      <c r="T11" s="17"/>
      <c r="U11" s="14"/>
      <c r="W11" s="1" t="b">
        <f>_xlfn.XLOOKUP(H11,'Order no'!$A$3:$A$255,'Order no'!$E$3:$E$255,FALSE)</f>
        <v>0</v>
      </c>
    </row>
    <row r="12" spans="1:23" x14ac:dyDescent="0.3">
      <c r="A12" s="9"/>
      <c r="B12" s="15"/>
      <c r="C12" s="16"/>
      <c r="D12" s="15"/>
      <c r="E12" s="9"/>
      <c r="F12" s="16"/>
      <c r="G12" s="6"/>
      <c r="H12" s="6"/>
      <c r="I12" s="6"/>
      <c r="J12" s="6"/>
      <c r="K12" s="6"/>
      <c r="L12" s="6"/>
      <c r="M12" s="6"/>
      <c r="N12" s="6"/>
      <c r="O12" s="6"/>
      <c r="P12" s="9"/>
      <c r="Q12" s="11"/>
      <c r="R12" s="12"/>
      <c r="S12" s="6"/>
      <c r="T12" s="17"/>
      <c r="U12" s="14"/>
      <c r="W12" s="1" t="b">
        <f>_xlfn.XLOOKUP(H12,'Order no'!$A$3:$A$255,'Order no'!$E$3:$E$255,FALSE)</f>
        <v>0</v>
      </c>
    </row>
    <row r="13" spans="1:23" x14ac:dyDescent="0.3">
      <c r="A13" s="9"/>
      <c r="B13" s="15"/>
      <c r="C13" s="16"/>
      <c r="D13" s="15"/>
      <c r="E13" s="9"/>
      <c r="F13" s="16"/>
      <c r="G13" s="6"/>
      <c r="H13" s="6"/>
      <c r="I13" s="6"/>
      <c r="J13" s="6"/>
      <c r="K13" s="6"/>
      <c r="L13" s="6"/>
      <c r="M13" s="6"/>
      <c r="N13" s="6"/>
      <c r="O13" s="6"/>
      <c r="P13" s="9"/>
      <c r="Q13" s="11"/>
      <c r="R13" s="12"/>
      <c r="S13" s="6"/>
      <c r="T13" s="17"/>
      <c r="U13" s="14"/>
      <c r="W13" s="1" t="b">
        <f>_xlfn.XLOOKUP(H13,'Order no'!$A$3:$A$255,'Order no'!$E$3:$E$255,FALSE)</f>
        <v>0</v>
      </c>
    </row>
    <row r="14" spans="1:23" x14ac:dyDescent="0.3">
      <c r="A14" s="9"/>
      <c r="B14" s="15"/>
      <c r="C14" s="16"/>
      <c r="D14" s="15"/>
      <c r="E14" s="9"/>
      <c r="F14" s="16"/>
      <c r="G14" s="6"/>
      <c r="H14" s="6"/>
      <c r="I14" s="6"/>
      <c r="J14" s="6"/>
      <c r="K14" s="6"/>
      <c r="L14" s="6"/>
      <c r="M14" s="6"/>
      <c r="N14" s="6"/>
      <c r="O14" s="6"/>
      <c r="P14" s="9"/>
      <c r="Q14" s="11"/>
      <c r="R14" s="12"/>
      <c r="S14" s="6"/>
      <c r="T14" s="17"/>
      <c r="U14" s="14"/>
      <c r="W14" s="1" t="b">
        <f>_xlfn.XLOOKUP(H14,'Order no'!$A$3:$A$255,'Order no'!$E$3:$E$255,FALSE)</f>
        <v>0</v>
      </c>
    </row>
    <row r="15" spans="1:23" x14ac:dyDescent="0.3">
      <c r="A15" s="9"/>
      <c r="B15" s="15"/>
      <c r="C15" s="16"/>
      <c r="D15" s="15"/>
      <c r="E15" s="9"/>
      <c r="F15" s="16"/>
      <c r="G15" s="6"/>
      <c r="H15" s="6"/>
      <c r="I15" s="6"/>
      <c r="J15" s="6"/>
      <c r="K15" s="6"/>
      <c r="L15" s="6"/>
      <c r="M15" s="6"/>
      <c r="N15" s="6"/>
      <c r="O15" s="6"/>
      <c r="P15" s="9"/>
      <c r="Q15" s="11"/>
      <c r="R15" s="12"/>
      <c r="S15" s="6"/>
      <c r="T15" s="17"/>
      <c r="U15" s="14"/>
      <c r="W15" s="1" t="b">
        <f>_xlfn.XLOOKUP(H15,'Order no'!$A$3:$A$255,'Order no'!$E$3:$E$255,FALSE)</f>
        <v>0</v>
      </c>
    </row>
    <row r="16" spans="1:23" x14ac:dyDescent="0.3">
      <c r="A16" s="9"/>
      <c r="B16" s="15"/>
      <c r="C16" s="16"/>
      <c r="D16" s="15"/>
      <c r="E16" s="9"/>
      <c r="F16" s="16"/>
      <c r="G16" s="6"/>
      <c r="H16" s="6"/>
      <c r="I16" s="6"/>
      <c r="J16" s="6"/>
      <c r="K16" s="6"/>
      <c r="L16" s="6"/>
      <c r="M16" s="6"/>
      <c r="N16" s="6"/>
      <c r="O16" s="6"/>
      <c r="P16" s="9"/>
      <c r="Q16" s="11"/>
      <c r="R16" s="12"/>
      <c r="S16" s="6"/>
      <c r="T16" s="17"/>
      <c r="U16" s="14"/>
      <c r="W16" s="1" t="b">
        <f>_xlfn.XLOOKUP(H16,'Order no'!$A$3:$A$255,'Order no'!$E$3:$E$255,FALSE)</f>
        <v>0</v>
      </c>
    </row>
    <row r="17" spans="1:23" x14ac:dyDescent="0.3">
      <c r="A17" s="9"/>
      <c r="B17" s="15"/>
      <c r="C17" s="16"/>
      <c r="D17" s="15"/>
      <c r="E17" s="9"/>
      <c r="F17" s="16"/>
      <c r="G17" s="6"/>
      <c r="H17" s="6"/>
      <c r="I17" s="6"/>
      <c r="J17" s="6"/>
      <c r="K17" s="6"/>
      <c r="L17" s="6"/>
      <c r="M17" s="6"/>
      <c r="N17" s="6"/>
      <c r="O17" s="6"/>
      <c r="P17" s="9"/>
      <c r="Q17" s="11"/>
      <c r="R17" s="12"/>
      <c r="S17" s="6"/>
      <c r="T17" s="17"/>
      <c r="U17" s="14"/>
      <c r="W17" s="1" t="b">
        <f>_xlfn.XLOOKUP(H17,'Order no'!$A$3:$A$255,'Order no'!$E$3:$E$255,FALSE)</f>
        <v>0</v>
      </c>
    </row>
    <row r="18" spans="1:23" x14ac:dyDescent="0.3">
      <c r="A18" s="9"/>
      <c r="B18" s="15"/>
      <c r="C18" s="16"/>
      <c r="D18" s="15"/>
      <c r="E18" s="9"/>
      <c r="F18" s="16"/>
      <c r="G18" s="6"/>
      <c r="H18" s="6"/>
      <c r="I18" s="6"/>
      <c r="J18" s="6"/>
      <c r="K18" s="6"/>
      <c r="L18" s="6"/>
      <c r="M18" s="6"/>
      <c r="N18" s="6"/>
      <c r="O18" s="6"/>
      <c r="P18" s="9"/>
      <c r="Q18" s="11"/>
      <c r="R18" s="12"/>
      <c r="S18" s="6"/>
      <c r="T18" s="17"/>
      <c r="U18" s="14"/>
      <c r="W18" s="1" t="b">
        <f>_xlfn.XLOOKUP(H18,'Order no'!$A$3:$A$255,'Order no'!$E$3:$E$255,FALSE)</f>
        <v>0</v>
      </c>
    </row>
    <row r="19" spans="1:23" x14ac:dyDescent="0.3">
      <c r="A19" s="9"/>
      <c r="B19" s="15"/>
      <c r="C19" s="16"/>
      <c r="D19" s="15"/>
      <c r="E19" s="9"/>
      <c r="F19" s="16"/>
      <c r="G19" s="6"/>
      <c r="H19" s="6"/>
      <c r="I19" s="6"/>
      <c r="J19" s="6"/>
      <c r="K19" s="6"/>
      <c r="L19" s="6"/>
      <c r="M19" s="6"/>
      <c r="N19" s="6"/>
      <c r="O19" s="6"/>
      <c r="P19" s="9"/>
      <c r="Q19" s="11"/>
      <c r="R19" s="12"/>
      <c r="S19" s="6"/>
      <c r="T19" s="17"/>
      <c r="U19" s="14"/>
      <c r="W19" s="1" t="b">
        <f>_xlfn.XLOOKUP(H19,'Order no'!$A$3:$A$255,'Order no'!$E$3:$E$255,FALSE)</f>
        <v>0</v>
      </c>
    </row>
    <row r="20" spans="1:23" x14ac:dyDescent="0.3">
      <c r="A20" s="9"/>
      <c r="B20" s="15"/>
      <c r="C20" s="16"/>
      <c r="D20" s="15"/>
      <c r="E20" s="9"/>
      <c r="F20" s="16"/>
      <c r="G20" s="6"/>
      <c r="H20" s="6"/>
      <c r="I20" s="6"/>
      <c r="J20" s="6"/>
      <c r="K20" s="6"/>
      <c r="L20" s="6"/>
      <c r="M20" s="6"/>
      <c r="N20" s="6"/>
      <c r="O20" s="6"/>
      <c r="P20" s="9"/>
      <c r="Q20" s="11"/>
      <c r="R20" s="12"/>
      <c r="S20" s="6"/>
      <c r="T20" s="17"/>
      <c r="U20" s="14"/>
      <c r="W20" s="1" t="b">
        <f>_xlfn.XLOOKUP(H20,'Order no'!$A$3:$A$255,'Order no'!$E$3:$E$255,FALSE)</f>
        <v>0</v>
      </c>
    </row>
    <row r="21" spans="1:23" x14ac:dyDescent="0.3">
      <c r="A21" s="9"/>
      <c r="B21" s="15"/>
      <c r="C21" s="16"/>
      <c r="D21" s="15"/>
      <c r="E21" s="9"/>
      <c r="F21" s="16"/>
      <c r="G21" s="6"/>
      <c r="H21" s="6"/>
      <c r="I21" s="6"/>
      <c r="J21" s="6"/>
      <c r="K21" s="6"/>
      <c r="L21" s="6"/>
      <c r="M21" s="6"/>
      <c r="N21" s="6"/>
      <c r="O21" s="6"/>
      <c r="P21" s="9"/>
      <c r="Q21" s="11"/>
      <c r="R21" s="12"/>
      <c r="S21" s="6"/>
      <c r="T21" s="17"/>
      <c r="U21" s="14"/>
      <c r="W21" s="1" t="b">
        <f>_xlfn.XLOOKUP(H21,'Order no'!$A$3:$A$255,'Order no'!$E$3:$E$255,FALSE)</f>
        <v>0</v>
      </c>
    </row>
  </sheetData>
  <autoFilter ref="A1:U1" xr:uid="{D52F0BDE-5606-457B-8CA7-5F8218C91DE5}"/>
  <phoneticPr fontId="2" type="noConversion"/>
  <pageMargins left="0.7" right="0.7" top="0.75" bottom="0.75" header="0.3" footer="0.3"/>
  <pageSetup scale="8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A60-D1E8-4250-AB7A-4B49244FF3AA}">
  <dimension ref="A1:U23"/>
  <sheetViews>
    <sheetView zoomScale="85" zoomScaleNormal="85" workbookViewId="0">
      <selection activeCell="U23" sqref="A2:U23"/>
    </sheetView>
  </sheetViews>
  <sheetFormatPr defaultRowHeight="14.4" x14ac:dyDescent="0.3"/>
  <cols>
    <col min="1" max="1" width="12" bestFit="1" customWidth="1"/>
    <col min="2" max="2" width="12.21875" bestFit="1" customWidth="1"/>
    <col min="3" max="3" width="18.5546875" bestFit="1" customWidth="1"/>
    <col min="4" max="4" width="11.21875" bestFit="1" customWidth="1"/>
    <col min="5" max="5" width="5.6640625" customWidth="1"/>
    <col min="6" max="6" width="18.5546875" bestFit="1" customWidth="1"/>
    <col min="7" max="7" width="13.5546875" bestFit="1" customWidth="1"/>
    <col min="8" max="8" width="25.109375" bestFit="1" customWidth="1"/>
    <col min="9" max="15" width="5.33203125" bestFit="1" customWidth="1"/>
    <col min="16" max="16" width="6.109375" bestFit="1" customWidth="1"/>
    <col min="17" max="17" width="4.5546875" bestFit="1" customWidth="1"/>
    <col min="18" max="18" width="11.44140625" bestFit="1" customWidth="1"/>
    <col min="19" max="19" width="4.5546875" bestFit="1" customWidth="1"/>
    <col min="20" max="20" width="7.77734375" bestFit="1" customWidth="1"/>
    <col min="21" max="21" width="10" customWidth="1"/>
  </cols>
  <sheetData>
    <row r="1" spans="1:21" s="2" customFormat="1" ht="25.2" customHeight="1" x14ac:dyDescent="0.3">
      <c r="A1" s="5" t="s">
        <v>20</v>
      </c>
      <c r="B1" s="5" t="s">
        <v>2</v>
      </c>
      <c r="C1" s="5" t="s">
        <v>0</v>
      </c>
      <c r="D1" s="5" t="s">
        <v>1</v>
      </c>
      <c r="E1" s="5" t="s">
        <v>19</v>
      </c>
      <c r="F1" s="5" t="s">
        <v>3</v>
      </c>
      <c r="G1" s="5" t="s">
        <v>4</v>
      </c>
      <c r="H1" s="5" t="s">
        <v>5</v>
      </c>
      <c r="I1" s="5" t="s">
        <v>558</v>
      </c>
      <c r="J1" s="5" t="s">
        <v>559</v>
      </c>
      <c r="K1" s="5" t="s">
        <v>560</v>
      </c>
      <c r="L1" s="5" t="s">
        <v>561</v>
      </c>
      <c r="M1" s="5" t="s">
        <v>562</v>
      </c>
      <c r="N1" s="5" t="s">
        <v>563</v>
      </c>
      <c r="O1" s="5" t="s">
        <v>564</v>
      </c>
      <c r="P1" s="5" t="s">
        <v>6</v>
      </c>
      <c r="Q1" s="7" t="s">
        <v>7</v>
      </c>
      <c r="R1" s="7" t="s">
        <v>8</v>
      </c>
      <c r="S1" s="5" t="s">
        <v>9</v>
      </c>
      <c r="T1" s="5" t="s">
        <v>565</v>
      </c>
      <c r="U1" s="5" t="s">
        <v>21</v>
      </c>
    </row>
    <row r="2" spans="1:21" s="1" customFormat="1" x14ac:dyDescent="0.3">
      <c r="A2" s="9">
        <v>10</v>
      </c>
      <c r="B2" s="15">
        <v>18112022</v>
      </c>
      <c r="C2" s="16" t="s">
        <v>86</v>
      </c>
      <c r="D2" s="15">
        <v>18112022</v>
      </c>
      <c r="E2" s="9" t="s">
        <v>17</v>
      </c>
      <c r="F2" s="16" t="s">
        <v>86</v>
      </c>
      <c r="G2" s="6" t="s">
        <v>88</v>
      </c>
      <c r="H2" s="6" t="s">
        <v>89</v>
      </c>
      <c r="I2" s="6"/>
      <c r="J2" s="6">
        <v>960</v>
      </c>
      <c r="K2" s="6"/>
      <c r="L2" s="6" t="s">
        <v>27</v>
      </c>
      <c r="M2" s="6" t="s">
        <v>27</v>
      </c>
      <c r="N2" s="6" t="s">
        <v>27</v>
      </c>
      <c r="O2" s="6" t="s">
        <v>27</v>
      </c>
      <c r="P2" s="9" t="s">
        <v>16</v>
      </c>
      <c r="Q2" s="11" t="s">
        <v>57</v>
      </c>
      <c r="R2" s="12" t="s">
        <v>112</v>
      </c>
      <c r="S2" s="6">
        <v>8</v>
      </c>
      <c r="T2" s="6" t="s">
        <v>557</v>
      </c>
      <c r="U2" s="14" t="s">
        <v>29</v>
      </c>
    </row>
    <row r="3" spans="1:21" s="1" customFormat="1" x14ac:dyDescent="0.3">
      <c r="A3" s="9">
        <v>10</v>
      </c>
      <c r="B3" s="15">
        <v>18112022</v>
      </c>
      <c r="C3" s="16" t="s">
        <v>86</v>
      </c>
      <c r="D3" s="15">
        <v>18112022</v>
      </c>
      <c r="E3" s="9" t="s">
        <v>17</v>
      </c>
      <c r="F3" s="16" t="s">
        <v>86</v>
      </c>
      <c r="G3" s="6" t="s">
        <v>88</v>
      </c>
      <c r="H3" s="6" t="s">
        <v>90</v>
      </c>
      <c r="I3" s="6"/>
      <c r="J3" s="6">
        <v>512</v>
      </c>
      <c r="K3" s="6"/>
      <c r="L3" s="6" t="s">
        <v>27</v>
      </c>
      <c r="M3" s="6" t="s">
        <v>27</v>
      </c>
      <c r="N3" s="6" t="s">
        <v>27</v>
      </c>
      <c r="O3" s="6" t="s">
        <v>27</v>
      </c>
      <c r="P3" s="9" t="s">
        <v>16</v>
      </c>
      <c r="Q3" s="11" t="s">
        <v>57</v>
      </c>
      <c r="R3" s="12" t="s">
        <v>112</v>
      </c>
      <c r="S3" s="6">
        <v>8</v>
      </c>
      <c r="T3" s="6" t="s">
        <v>557</v>
      </c>
      <c r="U3" s="14" t="s">
        <v>29</v>
      </c>
    </row>
    <row r="4" spans="1:21" s="1" customFormat="1" x14ac:dyDescent="0.3">
      <c r="A4" s="9">
        <v>10</v>
      </c>
      <c r="B4" s="15">
        <v>23112022</v>
      </c>
      <c r="C4" s="16" t="s">
        <v>92</v>
      </c>
      <c r="D4" s="15">
        <v>23112022</v>
      </c>
      <c r="E4" s="9" t="s">
        <v>17</v>
      </c>
      <c r="F4" s="16" t="s">
        <v>92</v>
      </c>
      <c r="G4" s="6" t="s">
        <v>24</v>
      </c>
      <c r="H4" s="6" t="s">
        <v>93</v>
      </c>
      <c r="I4" s="6"/>
      <c r="J4" s="6">
        <v>4</v>
      </c>
      <c r="K4" s="6"/>
      <c r="L4" s="6" t="s">
        <v>27</v>
      </c>
      <c r="M4" s="6" t="s">
        <v>27</v>
      </c>
      <c r="N4" s="6" t="s">
        <v>27</v>
      </c>
      <c r="O4" s="6" t="s">
        <v>27</v>
      </c>
      <c r="P4" s="9" t="s">
        <v>16</v>
      </c>
      <c r="Q4" s="11" t="s">
        <v>57</v>
      </c>
      <c r="R4" s="12" t="s">
        <v>112</v>
      </c>
      <c r="S4" s="6">
        <v>8</v>
      </c>
      <c r="T4" s="6" t="s">
        <v>557</v>
      </c>
      <c r="U4" s="14" t="s">
        <v>29</v>
      </c>
    </row>
    <row r="5" spans="1:21" s="1" customFormat="1" x14ac:dyDescent="0.3">
      <c r="A5" s="9">
        <v>10</v>
      </c>
      <c r="B5" s="15">
        <v>18112022</v>
      </c>
      <c r="C5" s="16" t="s">
        <v>95</v>
      </c>
      <c r="D5" s="15">
        <v>18112022</v>
      </c>
      <c r="E5" s="9" t="s">
        <v>17</v>
      </c>
      <c r="F5" s="16" t="s">
        <v>95</v>
      </c>
      <c r="G5" s="6" t="s">
        <v>24</v>
      </c>
      <c r="H5" s="6" t="s">
        <v>100</v>
      </c>
      <c r="I5" s="6"/>
      <c r="J5" s="6">
        <v>8</v>
      </c>
      <c r="K5" s="6"/>
      <c r="L5" s="6" t="s">
        <v>27</v>
      </c>
      <c r="M5" s="6" t="s">
        <v>27</v>
      </c>
      <c r="N5" s="6" t="s">
        <v>27</v>
      </c>
      <c r="O5" s="6" t="s">
        <v>27</v>
      </c>
      <c r="P5" s="9" t="s">
        <v>16</v>
      </c>
      <c r="Q5" s="11" t="s">
        <v>57</v>
      </c>
      <c r="R5" s="12" t="s">
        <v>112</v>
      </c>
      <c r="S5" s="6">
        <v>8</v>
      </c>
      <c r="T5" s="6" t="s">
        <v>557</v>
      </c>
      <c r="U5" s="14" t="s">
        <v>29</v>
      </c>
    </row>
    <row r="6" spans="1:21" s="1" customFormat="1" x14ac:dyDescent="0.3">
      <c r="A6" s="9">
        <v>10</v>
      </c>
      <c r="B6" s="15">
        <v>18112022</v>
      </c>
      <c r="C6" s="16" t="s">
        <v>95</v>
      </c>
      <c r="D6" s="15">
        <v>18112022</v>
      </c>
      <c r="E6" s="9" t="s">
        <v>17</v>
      </c>
      <c r="F6" s="16" t="s">
        <v>95</v>
      </c>
      <c r="G6" s="6" t="s">
        <v>24</v>
      </c>
      <c r="H6" s="6" t="s">
        <v>97</v>
      </c>
      <c r="I6" s="6"/>
      <c r="J6" s="6">
        <v>2</v>
      </c>
      <c r="K6" s="6"/>
      <c r="L6" s="6" t="s">
        <v>27</v>
      </c>
      <c r="M6" s="6" t="s">
        <v>27</v>
      </c>
      <c r="N6" s="6" t="s">
        <v>27</v>
      </c>
      <c r="O6" s="6" t="s">
        <v>27</v>
      </c>
      <c r="P6" s="9" t="s">
        <v>16</v>
      </c>
      <c r="Q6" s="11" t="s">
        <v>57</v>
      </c>
      <c r="R6" s="12" t="s">
        <v>112</v>
      </c>
      <c r="S6" s="6">
        <v>8</v>
      </c>
      <c r="T6" s="6" t="s">
        <v>557</v>
      </c>
      <c r="U6" s="14" t="s">
        <v>29</v>
      </c>
    </row>
    <row r="7" spans="1:21" s="1" customFormat="1" x14ac:dyDescent="0.3">
      <c r="A7" s="9">
        <v>10</v>
      </c>
      <c r="B7" s="15">
        <v>21112022</v>
      </c>
      <c r="C7" s="16" t="s">
        <v>99</v>
      </c>
      <c r="D7" s="15">
        <v>21112022</v>
      </c>
      <c r="E7" s="9" t="s">
        <v>17</v>
      </c>
      <c r="F7" s="16" t="s">
        <v>99</v>
      </c>
      <c r="G7" s="6" t="s">
        <v>24</v>
      </c>
      <c r="H7" s="6" t="s">
        <v>101</v>
      </c>
      <c r="I7" s="6"/>
      <c r="J7" s="6">
        <v>425</v>
      </c>
      <c r="K7" s="6"/>
      <c r="L7" s="6" t="s">
        <v>27</v>
      </c>
      <c r="M7" s="6" t="s">
        <v>27</v>
      </c>
      <c r="N7" s="6" t="s">
        <v>27</v>
      </c>
      <c r="O7" s="6" t="s">
        <v>27</v>
      </c>
      <c r="P7" s="9" t="s">
        <v>16</v>
      </c>
      <c r="Q7" s="11" t="s">
        <v>57</v>
      </c>
      <c r="R7" s="12" t="s">
        <v>112</v>
      </c>
      <c r="S7" s="6">
        <v>8</v>
      </c>
      <c r="T7" s="6" t="s">
        <v>557</v>
      </c>
      <c r="U7" s="14" t="s">
        <v>29</v>
      </c>
    </row>
    <row r="8" spans="1:21" s="1" customFormat="1" x14ac:dyDescent="0.3">
      <c r="A8" s="9">
        <v>10</v>
      </c>
      <c r="B8" s="15">
        <v>21112022</v>
      </c>
      <c r="C8" s="16" t="s">
        <v>99</v>
      </c>
      <c r="D8" s="15">
        <v>21112022</v>
      </c>
      <c r="E8" s="9" t="s">
        <v>17</v>
      </c>
      <c r="F8" s="16" t="s">
        <v>99</v>
      </c>
      <c r="G8" s="6" t="s">
        <v>24</v>
      </c>
      <c r="H8" s="6" t="s">
        <v>102</v>
      </c>
      <c r="I8" s="6"/>
      <c r="J8" s="6">
        <f>1629+200+414</f>
        <v>2243</v>
      </c>
      <c r="K8" s="6"/>
      <c r="L8" s="6" t="s">
        <v>27</v>
      </c>
      <c r="M8" s="6" t="s">
        <v>27</v>
      </c>
      <c r="N8" s="6" t="s">
        <v>27</v>
      </c>
      <c r="O8" s="6" t="s">
        <v>27</v>
      </c>
      <c r="P8" s="9" t="s">
        <v>16</v>
      </c>
      <c r="Q8" s="11" t="s">
        <v>57</v>
      </c>
      <c r="R8" s="12" t="s">
        <v>112</v>
      </c>
      <c r="S8" s="6">
        <v>8</v>
      </c>
      <c r="T8" s="6" t="s">
        <v>557</v>
      </c>
      <c r="U8" s="14" t="s">
        <v>29</v>
      </c>
    </row>
    <row r="9" spans="1:21" s="1" customFormat="1" x14ac:dyDescent="0.3">
      <c r="A9" s="9">
        <v>10</v>
      </c>
      <c r="B9" s="15">
        <v>21112022</v>
      </c>
      <c r="C9" s="16" t="s">
        <v>99</v>
      </c>
      <c r="D9" s="15">
        <v>21112022</v>
      </c>
      <c r="E9" s="9" t="s">
        <v>17</v>
      </c>
      <c r="F9" s="16" t="s">
        <v>99</v>
      </c>
      <c r="G9" s="6" t="s">
        <v>24</v>
      </c>
      <c r="H9" s="6" t="s">
        <v>103</v>
      </c>
      <c r="I9" s="6"/>
      <c r="J9" s="6">
        <f>240+1468</f>
        <v>1708</v>
      </c>
      <c r="K9" s="6"/>
      <c r="L9" s="6" t="s">
        <v>27</v>
      </c>
      <c r="M9" s="6" t="s">
        <v>27</v>
      </c>
      <c r="N9" s="6" t="s">
        <v>27</v>
      </c>
      <c r="O9" s="6" t="s">
        <v>27</v>
      </c>
      <c r="P9" s="9" t="s">
        <v>16</v>
      </c>
      <c r="Q9" s="11" t="s">
        <v>57</v>
      </c>
      <c r="R9" s="12" t="s">
        <v>112</v>
      </c>
      <c r="S9" s="6">
        <v>8</v>
      </c>
      <c r="T9" s="6" t="s">
        <v>557</v>
      </c>
      <c r="U9" s="14" t="s">
        <v>29</v>
      </c>
    </row>
    <row r="10" spans="1:21" s="1" customFormat="1" x14ac:dyDescent="0.3">
      <c r="A10" s="9">
        <v>10</v>
      </c>
      <c r="B10" s="15">
        <v>18112022</v>
      </c>
      <c r="C10" s="16" t="s">
        <v>105</v>
      </c>
      <c r="D10" s="15">
        <v>18112022</v>
      </c>
      <c r="E10" s="9" t="s">
        <v>17</v>
      </c>
      <c r="F10" s="16" t="s">
        <v>105</v>
      </c>
      <c r="G10" s="6" t="s">
        <v>24</v>
      </c>
      <c r="H10" s="6" t="s">
        <v>106</v>
      </c>
      <c r="I10" s="6"/>
      <c r="J10" s="6">
        <v>4</v>
      </c>
      <c r="K10" s="6"/>
      <c r="L10" s="6" t="s">
        <v>27</v>
      </c>
      <c r="M10" s="6" t="s">
        <v>27</v>
      </c>
      <c r="N10" s="6" t="s">
        <v>27</v>
      </c>
      <c r="O10" s="6" t="s">
        <v>27</v>
      </c>
      <c r="P10" s="9" t="s">
        <v>16</v>
      </c>
      <c r="Q10" s="11" t="s">
        <v>57</v>
      </c>
      <c r="R10" s="12" t="s">
        <v>112</v>
      </c>
      <c r="S10" s="6">
        <v>8</v>
      </c>
      <c r="T10" s="6" t="s">
        <v>557</v>
      </c>
      <c r="U10" s="14" t="s">
        <v>29</v>
      </c>
    </row>
    <row r="11" spans="1:21" s="1" customFormat="1" x14ac:dyDescent="0.3">
      <c r="A11" s="9">
        <v>10</v>
      </c>
      <c r="B11" s="15">
        <v>18112022</v>
      </c>
      <c r="C11" s="16" t="s">
        <v>105</v>
      </c>
      <c r="D11" s="15">
        <v>18112022</v>
      </c>
      <c r="E11" s="9" t="s">
        <v>17</v>
      </c>
      <c r="F11" s="16" t="s">
        <v>105</v>
      </c>
      <c r="G11" s="6" t="s">
        <v>24</v>
      </c>
      <c r="H11" s="6" t="s">
        <v>101</v>
      </c>
      <c r="I11" s="6"/>
      <c r="J11" s="6">
        <v>33</v>
      </c>
      <c r="K11" s="6"/>
      <c r="L11" s="6" t="s">
        <v>27</v>
      </c>
      <c r="M11" s="6" t="s">
        <v>27</v>
      </c>
      <c r="N11" s="6" t="s">
        <v>27</v>
      </c>
      <c r="O11" s="6" t="s">
        <v>27</v>
      </c>
      <c r="P11" s="9" t="s">
        <v>16</v>
      </c>
      <c r="Q11" s="11" t="s">
        <v>57</v>
      </c>
      <c r="R11" s="12" t="s">
        <v>112</v>
      </c>
      <c r="S11" s="6">
        <v>8</v>
      </c>
      <c r="T11" s="6" t="s">
        <v>557</v>
      </c>
      <c r="U11" s="14" t="s">
        <v>29</v>
      </c>
    </row>
    <row r="12" spans="1:21" s="1" customFormat="1" x14ac:dyDescent="0.3">
      <c r="A12" s="9">
        <v>10</v>
      </c>
      <c r="B12" s="15">
        <v>18112022</v>
      </c>
      <c r="C12" s="16" t="s">
        <v>105</v>
      </c>
      <c r="D12" s="15">
        <v>18112022</v>
      </c>
      <c r="E12" s="9" t="s">
        <v>17</v>
      </c>
      <c r="F12" s="16" t="s">
        <v>105</v>
      </c>
      <c r="G12" s="6" t="s">
        <v>24</v>
      </c>
      <c r="H12" s="6" t="s">
        <v>114</v>
      </c>
      <c r="I12" s="6"/>
      <c r="J12" s="6">
        <v>10</v>
      </c>
      <c r="K12" s="6"/>
      <c r="L12" s="6" t="s">
        <v>27</v>
      </c>
      <c r="M12" s="6" t="s">
        <v>27</v>
      </c>
      <c r="N12" s="6" t="s">
        <v>27</v>
      </c>
      <c r="O12" s="6" t="s">
        <v>27</v>
      </c>
      <c r="P12" s="9" t="s">
        <v>16</v>
      </c>
      <c r="Q12" s="11" t="s">
        <v>57</v>
      </c>
      <c r="R12" s="12" t="s">
        <v>112</v>
      </c>
      <c r="S12" s="6">
        <v>8</v>
      </c>
      <c r="T12" s="6" t="s">
        <v>557</v>
      </c>
      <c r="U12" s="14" t="s">
        <v>29</v>
      </c>
    </row>
    <row r="13" spans="1:21" s="1" customFormat="1" x14ac:dyDescent="0.3">
      <c r="A13" s="9">
        <v>10</v>
      </c>
      <c r="B13" s="15">
        <v>18112022</v>
      </c>
      <c r="C13" s="16" t="s">
        <v>105</v>
      </c>
      <c r="D13" s="15">
        <v>18112022</v>
      </c>
      <c r="E13" s="9" t="s">
        <v>17</v>
      </c>
      <c r="F13" s="16" t="s">
        <v>105</v>
      </c>
      <c r="G13" s="6" t="s">
        <v>24</v>
      </c>
      <c r="H13" s="6" t="s">
        <v>103</v>
      </c>
      <c r="I13" s="6"/>
      <c r="J13" s="6">
        <v>19</v>
      </c>
      <c r="K13" s="6"/>
      <c r="L13" s="6" t="s">
        <v>27</v>
      </c>
      <c r="M13" s="6" t="s">
        <v>27</v>
      </c>
      <c r="N13" s="6" t="s">
        <v>27</v>
      </c>
      <c r="O13" s="6" t="s">
        <v>27</v>
      </c>
      <c r="P13" s="9" t="s">
        <v>16</v>
      </c>
      <c r="Q13" s="11" t="s">
        <v>57</v>
      </c>
      <c r="R13" s="12" t="s">
        <v>112</v>
      </c>
      <c r="S13" s="6">
        <v>8</v>
      </c>
      <c r="T13" s="6" t="s">
        <v>557</v>
      </c>
      <c r="U13" s="14" t="s">
        <v>29</v>
      </c>
    </row>
    <row r="14" spans="1:21" s="1" customFormat="1" x14ac:dyDescent="0.3">
      <c r="A14" s="9">
        <v>10</v>
      </c>
      <c r="B14" s="15">
        <v>18112022</v>
      </c>
      <c r="C14" s="16" t="s">
        <v>105</v>
      </c>
      <c r="D14" s="15">
        <v>18112022</v>
      </c>
      <c r="E14" s="9" t="s">
        <v>17</v>
      </c>
      <c r="F14" s="16" t="s">
        <v>105</v>
      </c>
      <c r="G14" s="6" t="s">
        <v>24</v>
      </c>
      <c r="H14" s="6" t="s">
        <v>100</v>
      </c>
      <c r="I14" s="6"/>
      <c r="J14" s="6">
        <v>28</v>
      </c>
      <c r="K14" s="6"/>
      <c r="L14" s="6" t="s">
        <v>27</v>
      </c>
      <c r="M14" s="6" t="s">
        <v>27</v>
      </c>
      <c r="N14" s="6" t="s">
        <v>27</v>
      </c>
      <c r="O14" s="6" t="s">
        <v>27</v>
      </c>
      <c r="P14" s="9" t="s">
        <v>16</v>
      </c>
      <c r="Q14" s="11" t="s">
        <v>57</v>
      </c>
      <c r="R14" s="12" t="s">
        <v>112</v>
      </c>
      <c r="S14" s="6">
        <v>8</v>
      </c>
      <c r="T14" s="6" t="s">
        <v>557</v>
      </c>
      <c r="U14" s="14" t="s">
        <v>29</v>
      </c>
    </row>
    <row r="15" spans="1:21" s="1" customFormat="1" x14ac:dyDescent="0.3">
      <c r="A15" s="9">
        <v>10</v>
      </c>
      <c r="B15" s="15">
        <v>18112022</v>
      </c>
      <c r="C15" s="16" t="s">
        <v>105</v>
      </c>
      <c r="D15" s="15">
        <v>18112022</v>
      </c>
      <c r="E15" s="9" t="s">
        <v>17</v>
      </c>
      <c r="F15" s="16" t="s">
        <v>105</v>
      </c>
      <c r="G15" s="6" t="s">
        <v>24</v>
      </c>
      <c r="H15" s="6" t="s">
        <v>97</v>
      </c>
      <c r="I15" s="6"/>
      <c r="J15" s="6">
        <v>1</v>
      </c>
      <c r="K15" s="6"/>
      <c r="L15" s="6" t="s">
        <v>27</v>
      </c>
      <c r="M15" s="6" t="s">
        <v>27</v>
      </c>
      <c r="N15" s="6" t="s">
        <v>27</v>
      </c>
      <c r="O15" s="6" t="s">
        <v>27</v>
      </c>
      <c r="P15" s="9" t="s">
        <v>16</v>
      </c>
      <c r="Q15" s="11" t="s">
        <v>57</v>
      </c>
      <c r="R15" s="12" t="s">
        <v>112</v>
      </c>
      <c r="S15" s="6">
        <v>8</v>
      </c>
      <c r="T15" s="6" t="s">
        <v>557</v>
      </c>
      <c r="U15" s="14" t="s">
        <v>29</v>
      </c>
    </row>
    <row r="16" spans="1:21" s="1" customFormat="1" x14ac:dyDescent="0.3">
      <c r="A16" s="9">
        <v>10</v>
      </c>
      <c r="B16" s="15">
        <v>16112022</v>
      </c>
      <c r="C16" s="16" t="s">
        <v>109</v>
      </c>
      <c r="D16" s="15">
        <v>16112022</v>
      </c>
      <c r="E16" s="9" t="s">
        <v>17</v>
      </c>
      <c r="F16" s="16" t="s">
        <v>109</v>
      </c>
      <c r="G16" s="6" t="s">
        <v>24</v>
      </c>
      <c r="H16" s="6" t="s">
        <v>110</v>
      </c>
      <c r="I16" s="6"/>
      <c r="J16" s="6">
        <v>466</v>
      </c>
      <c r="K16" s="6"/>
      <c r="L16" s="6" t="s">
        <v>27</v>
      </c>
      <c r="M16" s="6" t="s">
        <v>27</v>
      </c>
      <c r="N16" s="6" t="s">
        <v>27</v>
      </c>
      <c r="O16" s="6" t="s">
        <v>27</v>
      </c>
      <c r="P16" s="9" t="s">
        <v>16</v>
      </c>
      <c r="Q16" s="11" t="s">
        <v>57</v>
      </c>
      <c r="R16" s="12" t="s">
        <v>112</v>
      </c>
      <c r="S16" s="6">
        <v>8</v>
      </c>
      <c r="T16" s="6" t="s">
        <v>557</v>
      </c>
      <c r="U16" s="14" t="s">
        <v>29</v>
      </c>
    </row>
    <row r="17" spans="1:21" s="1" customFormat="1" x14ac:dyDescent="0.3">
      <c r="A17" s="9">
        <v>10</v>
      </c>
      <c r="B17" s="15">
        <v>16112022</v>
      </c>
      <c r="C17" s="16" t="s">
        <v>109</v>
      </c>
      <c r="D17" s="15">
        <v>16112022</v>
      </c>
      <c r="E17" s="9" t="s">
        <v>17</v>
      </c>
      <c r="F17" s="16" t="s">
        <v>109</v>
      </c>
      <c r="G17" s="6" t="s">
        <v>24</v>
      </c>
      <c r="H17" s="6" t="s">
        <v>114</v>
      </c>
      <c r="I17" s="6"/>
      <c r="J17" s="6">
        <v>1020</v>
      </c>
      <c r="K17" s="6"/>
      <c r="L17" s="6" t="s">
        <v>27</v>
      </c>
      <c r="M17" s="6" t="s">
        <v>27</v>
      </c>
      <c r="N17" s="6" t="s">
        <v>27</v>
      </c>
      <c r="O17" s="6" t="s">
        <v>27</v>
      </c>
      <c r="P17" s="9" t="s">
        <v>16</v>
      </c>
      <c r="Q17" s="11" t="s">
        <v>57</v>
      </c>
      <c r="R17" s="12" t="s">
        <v>112</v>
      </c>
      <c r="S17" s="6">
        <v>8</v>
      </c>
      <c r="T17" s="6" t="s">
        <v>557</v>
      </c>
      <c r="U17" s="14" t="s">
        <v>29</v>
      </c>
    </row>
    <row r="18" spans="1:21" s="1" customFormat="1" x14ac:dyDescent="0.3">
      <c r="A18" s="9">
        <v>10</v>
      </c>
      <c r="B18" s="15">
        <v>16112022</v>
      </c>
      <c r="C18" s="16" t="s">
        <v>109</v>
      </c>
      <c r="D18" s="15">
        <v>16112022</v>
      </c>
      <c r="E18" s="9" t="s">
        <v>17</v>
      </c>
      <c r="F18" s="16" t="s">
        <v>109</v>
      </c>
      <c r="G18" s="6" t="s">
        <v>24</v>
      </c>
      <c r="H18" s="6" t="s">
        <v>101</v>
      </c>
      <c r="I18" s="6"/>
      <c r="J18" s="6">
        <v>250</v>
      </c>
      <c r="K18" s="6"/>
      <c r="L18" s="6" t="s">
        <v>27</v>
      </c>
      <c r="M18" s="6" t="s">
        <v>27</v>
      </c>
      <c r="N18" s="6" t="s">
        <v>27</v>
      </c>
      <c r="O18" s="6" t="s">
        <v>27</v>
      </c>
      <c r="P18" s="9" t="s">
        <v>16</v>
      </c>
      <c r="Q18" s="11" t="s">
        <v>57</v>
      </c>
      <c r="R18" s="12" t="s">
        <v>112</v>
      </c>
      <c r="S18" s="6">
        <v>8</v>
      </c>
      <c r="T18" s="6" t="s">
        <v>557</v>
      </c>
      <c r="U18" s="14" t="s">
        <v>29</v>
      </c>
    </row>
    <row r="19" spans="1:21" s="1" customFormat="1" x14ac:dyDescent="0.3">
      <c r="A19" s="9">
        <v>10</v>
      </c>
      <c r="B19" s="15">
        <v>16112022</v>
      </c>
      <c r="C19" s="16" t="s">
        <v>109</v>
      </c>
      <c r="D19" s="15">
        <v>16112022</v>
      </c>
      <c r="E19" s="9" t="s">
        <v>17</v>
      </c>
      <c r="F19" s="16" t="s">
        <v>109</v>
      </c>
      <c r="G19" s="6" t="s">
        <v>24</v>
      </c>
      <c r="H19" s="6" t="s">
        <v>103</v>
      </c>
      <c r="I19" s="6"/>
      <c r="J19" s="6">
        <v>229</v>
      </c>
      <c r="K19" s="6"/>
      <c r="L19" s="6" t="s">
        <v>27</v>
      </c>
      <c r="M19" s="6" t="s">
        <v>27</v>
      </c>
      <c r="N19" s="6" t="s">
        <v>27</v>
      </c>
      <c r="O19" s="6" t="s">
        <v>27</v>
      </c>
      <c r="P19" s="9" t="s">
        <v>16</v>
      </c>
      <c r="Q19" s="11" t="s">
        <v>57</v>
      </c>
      <c r="R19" s="12" t="s">
        <v>112</v>
      </c>
      <c r="S19" s="6">
        <v>8</v>
      </c>
      <c r="T19" s="6" t="s">
        <v>557</v>
      </c>
      <c r="U19" s="14" t="s">
        <v>29</v>
      </c>
    </row>
    <row r="20" spans="1:21" s="1" customFormat="1" x14ac:dyDescent="0.3">
      <c r="A20" s="9">
        <v>801</v>
      </c>
      <c r="B20" s="15">
        <v>23112022</v>
      </c>
      <c r="C20" s="16" t="s">
        <v>115</v>
      </c>
      <c r="D20" s="15">
        <f>B20</f>
        <v>23112022</v>
      </c>
      <c r="E20" s="9" t="s">
        <v>17</v>
      </c>
      <c r="F20" s="16" t="str">
        <f>C20</f>
        <v>COR2022000000435</v>
      </c>
      <c r="G20" s="6" t="s">
        <v>24</v>
      </c>
      <c r="H20" s="6" t="s">
        <v>97</v>
      </c>
      <c r="I20" s="6">
        <v>0</v>
      </c>
      <c r="J20" s="6">
        <v>15</v>
      </c>
      <c r="K20" s="6">
        <v>0</v>
      </c>
      <c r="L20" s="6">
        <v>0</v>
      </c>
      <c r="M20" s="6" t="s">
        <v>27</v>
      </c>
      <c r="N20" s="6" t="s">
        <v>27</v>
      </c>
      <c r="O20" s="6" t="s">
        <v>27</v>
      </c>
      <c r="P20" s="9" t="s">
        <v>16</v>
      </c>
      <c r="Q20" s="11" t="s">
        <v>57</v>
      </c>
      <c r="R20" s="12" t="s">
        <v>98</v>
      </c>
      <c r="S20" s="6">
        <v>8</v>
      </c>
      <c r="T20" s="6" t="s">
        <v>557</v>
      </c>
      <c r="U20" s="14" t="s">
        <v>22</v>
      </c>
    </row>
    <row r="21" spans="1:21" s="1" customFormat="1" x14ac:dyDescent="0.3">
      <c r="A21" s="9">
        <v>801</v>
      </c>
      <c r="B21" s="15">
        <v>23112022</v>
      </c>
      <c r="C21" s="16" t="s">
        <v>115</v>
      </c>
      <c r="D21" s="15">
        <f t="shared" ref="D21" si="0">B21</f>
        <v>23112022</v>
      </c>
      <c r="E21" s="9" t="s">
        <v>17</v>
      </c>
      <c r="F21" s="16" t="str">
        <f t="shared" ref="F21" si="1">C21</f>
        <v>COR2022000000435</v>
      </c>
      <c r="G21" s="6" t="s">
        <v>24</v>
      </c>
      <c r="H21" s="6" t="s">
        <v>28</v>
      </c>
      <c r="I21" s="6">
        <v>0</v>
      </c>
      <c r="J21" s="6">
        <v>48</v>
      </c>
      <c r="K21" s="6">
        <v>0</v>
      </c>
      <c r="L21" s="6">
        <v>0</v>
      </c>
      <c r="M21" s="6" t="s">
        <v>27</v>
      </c>
      <c r="N21" s="6" t="s">
        <v>27</v>
      </c>
      <c r="O21" s="6" t="s">
        <v>27</v>
      </c>
      <c r="P21" s="9" t="s">
        <v>16</v>
      </c>
      <c r="Q21" s="11" t="s">
        <v>57</v>
      </c>
      <c r="R21" s="12" t="s">
        <v>98</v>
      </c>
      <c r="S21" s="6">
        <v>8</v>
      </c>
      <c r="T21" s="6" t="s">
        <v>557</v>
      </c>
      <c r="U21" s="14" t="s">
        <v>22</v>
      </c>
    </row>
    <row r="22" spans="1:21" s="1" customFormat="1" x14ac:dyDescent="0.3">
      <c r="A22" s="9">
        <v>801</v>
      </c>
      <c r="B22" s="15">
        <v>23112022</v>
      </c>
      <c r="C22" s="16" t="s">
        <v>115</v>
      </c>
      <c r="D22" s="15">
        <f>B22</f>
        <v>23112022</v>
      </c>
      <c r="E22" s="9" t="s">
        <v>17</v>
      </c>
      <c r="F22" s="16" t="str">
        <f>C22</f>
        <v>COR2022000000435</v>
      </c>
      <c r="G22" s="6" t="s">
        <v>24</v>
      </c>
      <c r="H22" s="6" t="s">
        <v>101</v>
      </c>
      <c r="I22" s="6">
        <v>0</v>
      </c>
      <c r="J22" s="6">
        <v>108</v>
      </c>
      <c r="K22" s="6">
        <v>0</v>
      </c>
      <c r="L22" s="6">
        <v>0</v>
      </c>
      <c r="M22" s="6" t="s">
        <v>27</v>
      </c>
      <c r="N22" s="6" t="s">
        <v>27</v>
      </c>
      <c r="O22" s="6" t="s">
        <v>27</v>
      </c>
      <c r="P22" s="9" t="s">
        <v>16</v>
      </c>
      <c r="Q22" s="11" t="s">
        <v>57</v>
      </c>
      <c r="R22" s="12" t="s">
        <v>98</v>
      </c>
      <c r="S22" s="6">
        <v>8</v>
      </c>
      <c r="T22" s="17" t="s">
        <v>121</v>
      </c>
      <c r="U22" s="14" t="s">
        <v>22</v>
      </c>
    </row>
    <row r="23" spans="1:21" s="1" customFormat="1" x14ac:dyDescent="0.3">
      <c r="A23" s="9">
        <v>801</v>
      </c>
      <c r="B23" s="15">
        <v>23112022</v>
      </c>
      <c r="C23" s="16" t="s">
        <v>115</v>
      </c>
      <c r="D23" s="15">
        <f>B23</f>
        <v>23112022</v>
      </c>
      <c r="E23" s="9" t="s">
        <v>17</v>
      </c>
      <c r="F23" s="16" t="str">
        <f>C23</f>
        <v>COR2022000000435</v>
      </c>
      <c r="G23" s="6" t="s">
        <v>24</v>
      </c>
      <c r="H23" s="6" t="s">
        <v>102</v>
      </c>
      <c r="I23" s="6">
        <v>0</v>
      </c>
      <c r="J23" s="6">
        <v>30</v>
      </c>
      <c r="K23" s="6">
        <v>0</v>
      </c>
      <c r="L23" s="6">
        <v>0</v>
      </c>
      <c r="M23" s="6" t="s">
        <v>27</v>
      </c>
      <c r="N23" s="6" t="s">
        <v>27</v>
      </c>
      <c r="O23" s="6" t="s">
        <v>27</v>
      </c>
      <c r="P23" s="9" t="s">
        <v>16</v>
      </c>
      <c r="Q23" s="11" t="s">
        <v>57</v>
      </c>
      <c r="R23" s="12" t="s">
        <v>98</v>
      </c>
      <c r="S23" s="6">
        <v>8</v>
      </c>
      <c r="T23" s="17" t="s">
        <v>121</v>
      </c>
      <c r="U23" s="14" t="s">
        <v>22</v>
      </c>
    </row>
  </sheetData>
  <phoneticPr fontId="2" type="noConversion"/>
  <pageMargins left="0.7" right="0.7" top="0.75" bottom="0.75" header="0.3" footer="0.3"/>
  <ignoredErrors>
    <ignoredError sqref="Q2:T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5965-FDAC-4579-9997-0C6183F84870}">
  <sheetPr>
    <pageSetUpPr fitToPage="1"/>
  </sheetPr>
  <dimension ref="A1:U94"/>
  <sheetViews>
    <sheetView topLeftCell="E64" zoomScale="70" zoomScaleNormal="70" workbookViewId="0">
      <selection activeCell="F101" sqref="F101"/>
    </sheetView>
  </sheetViews>
  <sheetFormatPr defaultColWidth="9.109375" defaultRowHeight="14.4" x14ac:dyDescent="0.3"/>
  <cols>
    <col min="1" max="1" width="23.109375" style="1" bestFit="1" customWidth="1"/>
    <col min="2" max="2" width="25" style="1" bestFit="1" customWidth="1"/>
    <col min="3" max="3" width="21.5546875" style="1" bestFit="1" customWidth="1"/>
    <col min="4" max="4" width="23.33203125" style="1" bestFit="1" customWidth="1"/>
    <col min="5" max="5" width="13.21875" style="1" bestFit="1" customWidth="1"/>
    <col min="6" max="6" width="21.33203125" style="1" bestFit="1" customWidth="1"/>
    <col min="7" max="7" width="26.5546875" style="1" bestFit="1" customWidth="1"/>
    <col min="8" max="8" width="29" style="1" bestFit="1" customWidth="1"/>
    <col min="9" max="9" width="12" style="1" bestFit="1" customWidth="1"/>
    <col min="10" max="15" width="12.44140625" style="1" bestFit="1" customWidth="1"/>
    <col min="16" max="16" width="15.88671875" style="1" bestFit="1" customWidth="1"/>
    <col min="17" max="17" width="14.6640625" style="1" bestFit="1" customWidth="1"/>
    <col min="18" max="18" width="23.109375" style="3" bestFit="1" customWidth="1"/>
    <col min="19" max="19" width="14.6640625" style="1" bestFit="1" customWidth="1"/>
    <col min="20" max="20" width="20.6640625" style="1" bestFit="1" customWidth="1"/>
    <col min="21" max="16384" width="9.109375" style="1"/>
  </cols>
  <sheetData>
    <row r="1" spans="1:20" s="2" customFormat="1" x14ac:dyDescent="0.3">
      <c r="A1" s="5" t="s">
        <v>20</v>
      </c>
      <c r="B1" s="5" t="s">
        <v>2</v>
      </c>
      <c r="C1" s="5" t="s">
        <v>0</v>
      </c>
      <c r="D1" s="5" t="s">
        <v>1</v>
      </c>
      <c r="E1" s="5" t="s">
        <v>19</v>
      </c>
      <c r="F1" s="5" t="s">
        <v>3</v>
      </c>
      <c r="G1" s="5" t="s">
        <v>4</v>
      </c>
      <c r="H1" s="5" t="s">
        <v>5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18</v>
      </c>
      <c r="P1" s="5" t="s">
        <v>6</v>
      </c>
      <c r="Q1" s="5" t="s">
        <v>7</v>
      </c>
      <c r="R1" s="7" t="s">
        <v>8</v>
      </c>
      <c r="S1" s="5" t="s">
        <v>9</v>
      </c>
      <c r="T1" s="5" t="s">
        <v>21</v>
      </c>
    </row>
    <row r="2" spans="1:20" x14ac:dyDescent="0.3">
      <c r="A2" s="9">
        <v>602</v>
      </c>
      <c r="B2" s="8">
        <v>28102022</v>
      </c>
      <c r="C2" s="8" t="s">
        <v>54</v>
      </c>
      <c r="D2" s="8">
        <v>28102022</v>
      </c>
      <c r="E2" s="9" t="s">
        <v>17</v>
      </c>
      <c r="F2" s="8" t="s">
        <v>54</v>
      </c>
      <c r="G2" s="6" t="s">
        <v>55</v>
      </c>
      <c r="H2" s="6" t="s">
        <v>28</v>
      </c>
      <c r="I2" s="6">
        <v>0</v>
      </c>
      <c r="J2" s="6">
        <v>2</v>
      </c>
      <c r="K2" s="6">
        <v>0</v>
      </c>
      <c r="L2" s="6">
        <v>0</v>
      </c>
      <c r="M2" s="6" t="s">
        <v>27</v>
      </c>
      <c r="N2" s="6" t="s">
        <v>27</v>
      </c>
      <c r="O2" s="6" t="s">
        <v>27</v>
      </c>
      <c r="P2" s="9" t="s">
        <v>16</v>
      </c>
      <c r="Q2" s="10" t="s">
        <v>57</v>
      </c>
      <c r="R2" s="12" t="s">
        <v>58</v>
      </c>
      <c r="S2" s="6">
        <v>18</v>
      </c>
      <c r="T2" s="14" t="s">
        <v>22</v>
      </c>
    </row>
    <row r="3" spans="1:20" x14ac:dyDescent="0.3">
      <c r="A3" s="9">
        <v>602</v>
      </c>
      <c r="B3" s="8">
        <v>28102022</v>
      </c>
      <c r="C3" s="8" t="s">
        <v>54</v>
      </c>
      <c r="D3" s="8">
        <v>28102022</v>
      </c>
      <c r="E3" s="9" t="s">
        <v>17</v>
      </c>
      <c r="F3" s="8" t="s">
        <v>54</v>
      </c>
      <c r="G3" s="6" t="s">
        <v>55</v>
      </c>
      <c r="H3" s="6" t="s">
        <v>59</v>
      </c>
      <c r="I3" s="6">
        <v>0</v>
      </c>
      <c r="J3" s="6">
        <v>38</v>
      </c>
      <c r="K3" s="6">
        <v>0</v>
      </c>
      <c r="L3" s="6">
        <v>0</v>
      </c>
      <c r="M3" s="6" t="s">
        <v>27</v>
      </c>
      <c r="N3" s="6" t="s">
        <v>27</v>
      </c>
      <c r="O3" s="6" t="s">
        <v>27</v>
      </c>
      <c r="P3" s="9" t="s">
        <v>16</v>
      </c>
      <c r="Q3" s="10" t="s">
        <v>57</v>
      </c>
      <c r="R3" s="12" t="s">
        <v>60</v>
      </c>
      <c r="S3" s="6">
        <v>18</v>
      </c>
      <c r="T3" s="14" t="s">
        <v>22</v>
      </c>
    </row>
    <row r="4" spans="1:20" x14ac:dyDescent="0.3">
      <c r="A4" s="9">
        <v>20</v>
      </c>
      <c r="B4" s="8" t="s">
        <v>30</v>
      </c>
      <c r="C4" s="8" t="s">
        <v>61</v>
      </c>
      <c r="D4" s="8" t="s">
        <v>30</v>
      </c>
      <c r="E4" s="9"/>
      <c r="F4" s="8" t="s">
        <v>61</v>
      </c>
      <c r="G4" s="6" t="s">
        <v>37</v>
      </c>
      <c r="H4" s="6" t="s">
        <v>63</v>
      </c>
      <c r="I4" s="6">
        <v>0</v>
      </c>
      <c r="J4" s="6">
        <v>140</v>
      </c>
      <c r="K4" s="6">
        <v>0</v>
      </c>
      <c r="L4" s="6">
        <v>0</v>
      </c>
      <c r="M4" s="6" t="s">
        <v>27</v>
      </c>
      <c r="N4" s="6" t="s">
        <v>27</v>
      </c>
      <c r="O4" s="6" t="s">
        <v>27</v>
      </c>
      <c r="P4" s="9" t="s">
        <v>31</v>
      </c>
      <c r="Q4" s="10" t="s">
        <v>64</v>
      </c>
      <c r="R4" s="12" t="s">
        <v>65</v>
      </c>
      <c r="S4" s="6">
        <v>8</v>
      </c>
      <c r="T4" s="14" t="s">
        <v>29</v>
      </c>
    </row>
    <row r="5" spans="1:20" x14ac:dyDescent="0.3">
      <c r="A5" s="9">
        <v>20</v>
      </c>
      <c r="B5" s="8">
        <v>10112022</v>
      </c>
      <c r="C5" s="8" t="s">
        <v>74</v>
      </c>
      <c r="D5" s="8">
        <v>10112022</v>
      </c>
      <c r="E5" s="9"/>
      <c r="F5" s="8" t="s">
        <v>74</v>
      </c>
      <c r="G5" s="6" t="s">
        <v>37</v>
      </c>
      <c r="H5" s="6" t="s">
        <v>46</v>
      </c>
      <c r="I5" s="6">
        <v>0</v>
      </c>
      <c r="J5" s="6">
        <v>30</v>
      </c>
      <c r="K5" s="6">
        <v>0</v>
      </c>
      <c r="L5" s="6">
        <v>0</v>
      </c>
      <c r="M5" s="6" t="s">
        <v>27</v>
      </c>
      <c r="N5" s="6" t="s">
        <v>27</v>
      </c>
      <c r="O5" s="6" t="s">
        <v>27</v>
      </c>
      <c r="P5" s="9" t="s">
        <v>31</v>
      </c>
      <c r="Q5" s="10" t="s">
        <v>73</v>
      </c>
      <c r="R5" s="12" t="s">
        <v>47</v>
      </c>
      <c r="S5" s="6">
        <v>8</v>
      </c>
      <c r="T5" s="14" t="s">
        <v>29</v>
      </c>
    </row>
    <row r="6" spans="1:20" x14ac:dyDescent="0.3">
      <c r="A6" s="9">
        <v>20</v>
      </c>
      <c r="B6" s="8">
        <v>10112022</v>
      </c>
      <c r="C6" s="8" t="s">
        <v>74</v>
      </c>
      <c r="D6" s="8">
        <v>10112022</v>
      </c>
      <c r="E6" s="9"/>
      <c r="F6" s="8" t="s">
        <v>74</v>
      </c>
      <c r="G6" s="6" t="s">
        <v>37</v>
      </c>
      <c r="H6" s="6" t="s">
        <v>66</v>
      </c>
      <c r="I6" s="6">
        <v>0</v>
      </c>
      <c r="J6" s="6">
        <v>22</v>
      </c>
      <c r="K6" s="6">
        <v>0</v>
      </c>
      <c r="L6" s="6">
        <v>0</v>
      </c>
      <c r="M6" s="6" t="s">
        <v>27</v>
      </c>
      <c r="N6" s="6" t="s">
        <v>27</v>
      </c>
      <c r="O6" s="6" t="s">
        <v>27</v>
      </c>
      <c r="P6" s="9" t="s">
        <v>31</v>
      </c>
      <c r="Q6" s="10" t="s">
        <v>73</v>
      </c>
      <c r="R6" s="12" t="s">
        <v>75</v>
      </c>
      <c r="S6" s="6">
        <v>8</v>
      </c>
      <c r="T6" s="14" t="s">
        <v>29</v>
      </c>
    </row>
    <row r="7" spans="1:20" x14ac:dyDescent="0.3">
      <c r="A7" s="9">
        <v>20</v>
      </c>
      <c r="B7" s="8">
        <v>10112022</v>
      </c>
      <c r="C7" s="8" t="s">
        <v>74</v>
      </c>
      <c r="D7" s="8">
        <v>10112022</v>
      </c>
      <c r="E7" s="9"/>
      <c r="F7" s="8" t="s">
        <v>74</v>
      </c>
      <c r="G7" s="6" t="s">
        <v>37</v>
      </c>
      <c r="H7" s="6" t="s">
        <v>51</v>
      </c>
      <c r="I7" s="6">
        <v>0</v>
      </c>
      <c r="J7" s="6">
        <v>27</v>
      </c>
      <c r="K7" s="6">
        <v>0</v>
      </c>
      <c r="L7" s="6">
        <v>0</v>
      </c>
      <c r="M7" s="6" t="s">
        <v>27</v>
      </c>
      <c r="N7" s="6" t="s">
        <v>27</v>
      </c>
      <c r="O7" s="6" t="s">
        <v>27</v>
      </c>
      <c r="P7" s="9" t="s">
        <v>31</v>
      </c>
      <c r="Q7" s="10" t="s">
        <v>73</v>
      </c>
      <c r="R7" s="13" t="s">
        <v>53</v>
      </c>
      <c r="S7" s="6">
        <v>8</v>
      </c>
      <c r="T7" s="14" t="s">
        <v>29</v>
      </c>
    </row>
    <row r="8" spans="1:20" x14ac:dyDescent="0.3">
      <c r="A8" s="9">
        <v>20</v>
      </c>
      <c r="B8" s="8">
        <v>10112022</v>
      </c>
      <c r="C8" s="8" t="s">
        <v>74</v>
      </c>
      <c r="D8" s="8">
        <v>10112022</v>
      </c>
      <c r="E8" s="9"/>
      <c r="F8" s="8" t="s">
        <v>74</v>
      </c>
      <c r="G8" s="6" t="s">
        <v>37</v>
      </c>
      <c r="H8" s="6" t="s">
        <v>67</v>
      </c>
      <c r="I8" s="6">
        <v>0</v>
      </c>
      <c r="J8" s="6">
        <v>60</v>
      </c>
      <c r="K8" s="6">
        <v>0</v>
      </c>
      <c r="L8" s="6">
        <v>0</v>
      </c>
      <c r="M8" s="6" t="s">
        <v>27</v>
      </c>
      <c r="N8" s="6" t="s">
        <v>27</v>
      </c>
      <c r="O8" s="6" t="s">
        <v>27</v>
      </c>
      <c r="P8" s="9" t="s">
        <v>31</v>
      </c>
      <c r="Q8" s="10" t="s">
        <v>73</v>
      </c>
      <c r="R8" s="12" t="s">
        <v>76</v>
      </c>
      <c r="S8" s="6">
        <v>8</v>
      </c>
      <c r="T8" s="14" t="s">
        <v>29</v>
      </c>
    </row>
    <row r="9" spans="1:20" x14ac:dyDescent="0.3">
      <c r="A9" s="9">
        <v>20</v>
      </c>
      <c r="B9" s="8">
        <v>10112022</v>
      </c>
      <c r="C9" s="8" t="s">
        <v>74</v>
      </c>
      <c r="D9" s="8">
        <v>10112022</v>
      </c>
      <c r="E9" s="9"/>
      <c r="F9" s="8" t="s">
        <v>74</v>
      </c>
      <c r="G9" s="6" t="s">
        <v>37</v>
      </c>
      <c r="H9" s="6" t="s">
        <v>68</v>
      </c>
      <c r="I9" s="6">
        <v>0</v>
      </c>
      <c r="J9" s="6">
        <v>71</v>
      </c>
      <c r="K9" s="6">
        <v>0</v>
      </c>
      <c r="L9" s="6">
        <v>0</v>
      </c>
      <c r="M9" s="6" t="s">
        <v>27</v>
      </c>
      <c r="N9" s="6" t="s">
        <v>27</v>
      </c>
      <c r="O9" s="6" t="s">
        <v>27</v>
      </c>
      <c r="P9" s="9" t="s">
        <v>31</v>
      </c>
      <c r="Q9" s="10" t="s">
        <v>73</v>
      </c>
      <c r="R9" s="12" t="s">
        <v>77</v>
      </c>
      <c r="S9" s="6">
        <v>8</v>
      </c>
      <c r="T9" s="14" t="s">
        <v>29</v>
      </c>
    </row>
    <row r="10" spans="1:20" x14ac:dyDescent="0.3">
      <c r="A10" s="9">
        <v>20</v>
      </c>
      <c r="B10" s="8">
        <v>10112022</v>
      </c>
      <c r="C10" s="8" t="s">
        <v>74</v>
      </c>
      <c r="D10" s="8">
        <v>10112022</v>
      </c>
      <c r="E10" s="9"/>
      <c r="F10" s="8" t="s">
        <v>74</v>
      </c>
      <c r="G10" s="6" t="s">
        <v>37</v>
      </c>
      <c r="H10" s="6" t="s">
        <v>69</v>
      </c>
      <c r="I10" s="6">
        <v>0</v>
      </c>
      <c r="J10" s="6">
        <v>50</v>
      </c>
      <c r="K10" s="6">
        <v>0</v>
      </c>
      <c r="L10" s="6">
        <v>0</v>
      </c>
      <c r="M10" s="6" t="s">
        <v>27</v>
      </c>
      <c r="N10" s="6" t="s">
        <v>27</v>
      </c>
      <c r="O10" s="6" t="s">
        <v>27</v>
      </c>
      <c r="P10" s="9" t="s">
        <v>31</v>
      </c>
      <c r="Q10" s="10" t="s">
        <v>73</v>
      </c>
      <c r="R10" s="12" t="s">
        <v>77</v>
      </c>
      <c r="S10" s="6">
        <v>8</v>
      </c>
      <c r="T10" s="14" t="s">
        <v>29</v>
      </c>
    </row>
    <row r="11" spans="1:20" x14ac:dyDescent="0.3">
      <c r="A11" s="9">
        <v>20</v>
      </c>
      <c r="B11" s="8">
        <v>10112022</v>
      </c>
      <c r="C11" s="8" t="s">
        <v>74</v>
      </c>
      <c r="D11" s="8">
        <v>10112022</v>
      </c>
      <c r="E11" s="9"/>
      <c r="F11" s="8" t="s">
        <v>74</v>
      </c>
      <c r="G11" s="6" t="s">
        <v>37</v>
      </c>
      <c r="H11" s="6" t="s">
        <v>70</v>
      </c>
      <c r="I11" s="6">
        <v>0</v>
      </c>
      <c r="J11" s="6">
        <v>40</v>
      </c>
      <c r="K11" s="6">
        <v>0</v>
      </c>
      <c r="L11" s="6">
        <v>0</v>
      </c>
      <c r="M11" s="6" t="s">
        <v>27</v>
      </c>
      <c r="N11" s="6" t="s">
        <v>27</v>
      </c>
      <c r="O11" s="6" t="s">
        <v>27</v>
      </c>
      <c r="P11" s="9" t="s">
        <v>31</v>
      </c>
      <c r="Q11" s="10" t="s">
        <v>73</v>
      </c>
      <c r="R11" s="12" t="s">
        <v>78</v>
      </c>
      <c r="S11" s="6">
        <v>8</v>
      </c>
      <c r="T11" s="14" t="s">
        <v>29</v>
      </c>
    </row>
    <row r="12" spans="1:20" x14ac:dyDescent="0.3">
      <c r="A12" s="9">
        <v>20</v>
      </c>
      <c r="B12" s="8">
        <v>10112022</v>
      </c>
      <c r="C12" s="8" t="s">
        <v>74</v>
      </c>
      <c r="D12" s="8">
        <v>10112022</v>
      </c>
      <c r="E12" s="9"/>
      <c r="F12" s="8" t="s">
        <v>74</v>
      </c>
      <c r="G12" s="6" t="s">
        <v>37</v>
      </c>
      <c r="H12" s="6" t="s">
        <v>38</v>
      </c>
      <c r="I12" s="6">
        <v>0</v>
      </c>
      <c r="J12" s="6">
        <v>24</v>
      </c>
      <c r="K12" s="6">
        <v>0</v>
      </c>
      <c r="L12" s="6">
        <v>0</v>
      </c>
      <c r="M12" s="6" t="s">
        <v>27</v>
      </c>
      <c r="N12" s="6" t="s">
        <v>27</v>
      </c>
      <c r="O12" s="6" t="s">
        <v>27</v>
      </c>
      <c r="P12" s="9" t="s">
        <v>31</v>
      </c>
      <c r="Q12" s="10" t="s">
        <v>73</v>
      </c>
      <c r="R12" s="12" t="s">
        <v>39</v>
      </c>
      <c r="S12" s="6">
        <v>8</v>
      </c>
      <c r="T12" s="14" t="s">
        <v>29</v>
      </c>
    </row>
    <row r="13" spans="1:20" x14ac:dyDescent="0.3">
      <c r="A13" s="9">
        <v>20</v>
      </c>
      <c r="B13" s="8">
        <v>10112022</v>
      </c>
      <c r="C13" s="8" t="s">
        <v>74</v>
      </c>
      <c r="D13" s="8">
        <v>10112022</v>
      </c>
      <c r="E13" s="9"/>
      <c r="F13" s="8" t="s">
        <v>74</v>
      </c>
      <c r="G13" s="6" t="s">
        <v>37</v>
      </c>
      <c r="H13" s="6" t="s">
        <v>40</v>
      </c>
      <c r="I13" s="6">
        <v>0</v>
      </c>
      <c r="J13" s="6">
        <v>41</v>
      </c>
      <c r="K13" s="6">
        <v>0</v>
      </c>
      <c r="L13" s="6">
        <v>0</v>
      </c>
      <c r="M13" s="6" t="s">
        <v>27</v>
      </c>
      <c r="N13" s="6" t="s">
        <v>27</v>
      </c>
      <c r="O13" s="6" t="s">
        <v>27</v>
      </c>
      <c r="P13" s="9" t="s">
        <v>31</v>
      </c>
      <c r="Q13" s="10" t="s">
        <v>73</v>
      </c>
      <c r="R13" s="12" t="s">
        <v>41</v>
      </c>
      <c r="S13" s="6">
        <v>8</v>
      </c>
      <c r="T13" s="14" t="s">
        <v>29</v>
      </c>
    </row>
    <row r="14" spans="1:20" x14ac:dyDescent="0.3">
      <c r="A14" s="9">
        <v>20</v>
      </c>
      <c r="B14" s="8">
        <v>10112022</v>
      </c>
      <c r="C14" s="8" t="s">
        <v>74</v>
      </c>
      <c r="D14" s="8">
        <v>10112022</v>
      </c>
      <c r="E14" s="9"/>
      <c r="F14" s="8" t="s">
        <v>74</v>
      </c>
      <c r="G14" s="6" t="s">
        <v>37</v>
      </c>
      <c r="H14" s="6" t="s">
        <v>42</v>
      </c>
      <c r="I14" s="6">
        <v>0</v>
      </c>
      <c r="J14" s="6">
        <v>41</v>
      </c>
      <c r="K14" s="6">
        <v>0</v>
      </c>
      <c r="L14" s="6">
        <v>0</v>
      </c>
      <c r="M14" s="6" t="s">
        <v>27</v>
      </c>
      <c r="N14" s="6" t="s">
        <v>27</v>
      </c>
      <c r="O14" s="6" t="s">
        <v>27</v>
      </c>
      <c r="P14" s="9" t="s">
        <v>31</v>
      </c>
      <c r="Q14" s="10" t="s">
        <v>73</v>
      </c>
      <c r="R14" s="12" t="s">
        <v>44</v>
      </c>
      <c r="S14" s="6">
        <v>8</v>
      </c>
      <c r="T14" s="14" t="s">
        <v>29</v>
      </c>
    </row>
    <row r="15" spans="1:20" x14ac:dyDescent="0.3">
      <c r="A15" s="9">
        <v>20</v>
      </c>
      <c r="B15" s="8">
        <v>10112022</v>
      </c>
      <c r="C15" s="8" t="s">
        <v>74</v>
      </c>
      <c r="D15" s="8">
        <v>10112022</v>
      </c>
      <c r="E15" s="9"/>
      <c r="F15" s="8" t="s">
        <v>74</v>
      </c>
      <c r="G15" s="6" t="s">
        <v>37</v>
      </c>
      <c r="H15" s="6" t="s">
        <v>71</v>
      </c>
      <c r="I15" s="6">
        <v>0</v>
      </c>
      <c r="J15" s="6">
        <v>41</v>
      </c>
      <c r="K15" s="6">
        <v>0</v>
      </c>
      <c r="L15" s="6">
        <v>0</v>
      </c>
      <c r="M15" s="6" t="s">
        <v>27</v>
      </c>
      <c r="N15" s="6" t="s">
        <v>27</v>
      </c>
      <c r="O15" s="6" t="s">
        <v>27</v>
      </c>
      <c r="P15" s="9" t="s">
        <v>31</v>
      </c>
      <c r="Q15" s="10" t="s">
        <v>73</v>
      </c>
      <c r="R15" s="12" t="s">
        <v>79</v>
      </c>
      <c r="S15" s="6">
        <v>8</v>
      </c>
      <c r="T15" s="14" t="s">
        <v>29</v>
      </c>
    </row>
    <row r="16" spans="1:20" x14ac:dyDescent="0.3">
      <c r="A16" s="9">
        <v>20</v>
      </c>
      <c r="B16" s="8">
        <v>10112022</v>
      </c>
      <c r="C16" s="8" t="s">
        <v>74</v>
      </c>
      <c r="D16" s="8">
        <v>10112022</v>
      </c>
      <c r="E16" s="9"/>
      <c r="F16" s="8" t="s">
        <v>74</v>
      </c>
      <c r="G16" s="6" t="s">
        <v>37</v>
      </c>
      <c r="H16" s="6" t="s">
        <v>43</v>
      </c>
      <c r="I16" s="6">
        <v>0</v>
      </c>
      <c r="J16" s="6">
        <v>73</v>
      </c>
      <c r="K16" s="6">
        <v>0</v>
      </c>
      <c r="L16" s="6">
        <v>0</v>
      </c>
      <c r="M16" s="6" t="s">
        <v>27</v>
      </c>
      <c r="N16" s="6" t="s">
        <v>27</v>
      </c>
      <c r="O16" s="6" t="s">
        <v>27</v>
      </c>
      <c r="P16" s="9" t="s">
        <v>31</v>
      </c>
      <c r="Q16" s="10" t="s">
        <v>73</v>
      </c>
      <c r="R16" s="12" t="s">
        <v>45</v>
      </c>
      <c r="S16" s="6">
        <v>8</v>
      </c>
      <c r="T16" s="14" t="s">
        <v>29</v>
      </c>
    </row>
    <row r="17" spans="1:20" x14ac:dyDescent="0.3">
      <c r="A17" s="9">
        <v>20</v>
      </c>
      <c r="B17" s="8">
        <v>10112022</v>
      </c>
      <c r="C17" s="8" t="s">
        <v>74</v>
      </c>
      <c r="D17" s="8">
        <v>10112022</v>
      </c>
      <c r="E17" s="9"/>
      <c r="F17" s="8" t="s">
        <v>74</v>
      </c>
      <c r="G17" s="6" t="s">
        <v>37</v>
      </c>
      <c r="H17" s="6" t="s">
        <v>72</v>
      </c>
      <c r="I17" s="6">
        <v>0</v>
      </c>
      <c r="J17" s="6">
        <v>60</v>
      </c>
      <c r="K17" s="6">
        <v>0</v>
      </c>
      <c r="L17" s="6">
        <v>0</v>
      </c>
      <c r="M17" s="6" t="s">
        <v>27</v>
      </c>
      <c r="N17" s="6" t="s">
        <v>27</v>
      </c>
      <c r="O17" s="6" t="s">
        <v>27</v>
      </c>
      <c r="P17" s="9" t="s">
        <v>31</v>
      </c>
      <c r="Q17" s="10" t="s">
        <v>73</v>
      </c>
      <c r="R17" s="12" t="s">
        <v>49</v>
      </c>
      <c r="S17" s="6">
        <v>8</v>
      </c>
      <c r="T17" s="14" t="s">
        <v>29</v>
      </c>
    </row>
    <row r="18" spans="1:20" x14ac:dyDescent="0.3">
      <c r="A18" s="9">
        <v>20</v>
      </c>
      <c r="B18" s="8">
        <v>10112022</v>
      </c>
      <c r="C18" s="8" t="s">
        <v>74</v>
      </c>
      <c r="D18" s="8">
        <v>10112022</v>
      </c>
      <c r="E18" s="9"/>
      <c r="F18" s="8" t="s">
        <v>74</v>
      </c>
      <c r="G18" s="6" t="s">
        <v>37</v>
      </c>
      <c r="H18" s="6" t="s">
        <v>48</v>
      </c>
      <c r="I18" s="6">
        <v>0</v>
      </c>
      <c r="J18" s="6">
        <v>60</v>
      </c>
      <c r="K18" s="6">
        <v>0</v>
      </c>
      <c r="L18" s="6">
        <v>0</v>
      </c>
      <c r="M18" s="6" t="s">
        <v>27</v>
      </c>
      <c r="N18" s="6" t="s">
        <v>27</v>
      </c>
      <c r="O18" s="6" t="s">
        <v>27</v>
      </c>
      <c r="P18" s="9" t="s">
        <v>31</v>
      </c>
      <c r="Q18" s="10" t="s">
        <v>73</v>
      </c>
      <c r="R18" s="12" t="s">
        <v>49</v>
      </c>
      <c r="S18" s="6">
        <v>8</v>
      </c>
      <c r="T18" s="14" t="s">
        <v>29</v>
      </c>
    </row>
    <row r="19" spans="1:20" x14ac:dyDescent="0.3">
      <c r="A19" s="9">
        <v>20</v>
      </c>
      <c r="B19" s="8">
        <v>10112022</v>
      </c>
      <c r="C19" s="8" t="s">
        <v>74</v>
      </c>
      <c r="D19" s="8">
        <v>10112022</v>
      </c>
      <c r="E19" s="9"/>
      <c r="F19" s="8" t="s">
        <v>74</v>
      </c>
      <c r="G19" s="6" t="s">
        <v>37</v>
      </c>
      <c r="H19" s="6" t="s">
        <v>50</v>
      </c>
      <c r="I19" s="6">
        <v>0</v>
      </c>
      <c r="J19" s="6">
        <v>84</v>
      </c>
      <c r="K19" s="6">
        <v>0</v>
      </c>
      <c r="L19" s="6">
        <v>0</v>
      </c>
      <c r="M19" s="6" t="s">
        <v>27</v>
      </c>
      <c r="N19" s="6" t="s">
        <v>27</v>
      </c>
      <c r="O19" s="6" t="s">
        <v>27</v>
      </c>
      <c r="P19" s="9" t="s">
        <v>31</v>
      </c>
      <c r="Q19" s="10" t="s">
        <v>73</v>
      </c>
      <c r="R19" s="12" t="s">
        <v>52</v>
      </c>
      <c r="S19" s="6">
        <v>8</v>
      </c>
      <c r="T19" s="14" t="s">
        <v>29</v>
      </c>
    </row>
    <row r="20" spans="1:20" x14ac:dyDescent="0.3">
      <c r="A20" s="9">
        <v>20</v>
      </c>
      <c r="B20" s="8">
        <v>10112022</v>
      </c>
      <c r="C20" s="8" t="s">
        <v>80</v>
      </c>
      <c r="D20" s="8">
        <v>10112022</v>
      </c>
      <c r="E20" s="9"/>
      <c r="F20" s="8" t="s">
        <v>80</v>
      </c>
      <c r="G20" s="6" t="s">
        <v>37</v>
      </c>
      <c r="H20" s="6" t="s">
        <v>46</v>
      </c>
      <c r="I20" s="6">
        <v>0</v>
      </c>
      <c r="J20" s="6">
        <v>30</v>
      </c>
      <c r="K20" s="6">
        <v>0</v>
      </c>
      <c r="L20" s="6">
        <v>0</v>
      </c>
      <c r="M20" s="6" t="s">
        <v>27</v>
      </c>
      <c r="N20" s="6" t="s">
        <v>27</v>
      </c>
      <c r="O20" s="6" t="s">
        <v>27</v>
      </c>
      <c r="P20" s="9" t="s">
        <v>31</v>
      </c>
      <c r="Q20" s="10" t="s">
        <v>73</v>
      </c>
      <c r="R20" s="12" t="s">
        <v>47</v>
      </c>
      <c r="S20" s="6">
        <v>8</v>
      </c>
      <c r="T20" s="14" t="s">
        <v>29</v>
      </c>
    </row>
    <row r="21" spans="1:20" x14ac:dyDescent="0.3">
      <c r="A21" s="9">
        <v>20</v>
      </c>
      <c r="B21" s="8">
        <v>10112022</v>
      </c>
      <c r="C21" s="8" t="s">
        <v>80</v>
      </c>
      <c r="D21" s="8">
        <v>10112022</v>
      </c>
      <c r="E21" s="9"/>
      <c r="F21" s="8" t="s">
        <v>80</v>
      </c>
      <c r="G21" s="6" t="s">
        <v>37</v>
      </c>
      <c r="H21" s="6" t="s">
        <v>66</v>
      </c>
      <c r="I21" s="6">
        <v>0</v>
      </c>
      <c r="J21" s="6">
        <v>30</v>
      </c>
      <c r="K21" s="6">
        <v>0</v>
      </c>
      <c r="L21" s="6">
        <v>0</v>
      </c>
      <c r="M21" s="6" t="s">
        <v>27</v>
      </c>
      <c r="N21" s="6" t="s">
        <v>27</v>
      </c>
      <c r="O21" s="6" t="s">
        <v>27</v>
      </c>
      <c r="P21" s="9" t="s">
        <v>31</v>
      </c>
      <c r="Q21" s="10" t="s">
        <v>73</v>
      </c>
      <c r="R21" s="12" t="s">
        <v>75</v>
      </c>
      <c r="S21" s="6">
        <v>8</v>
      </c>
      <c r="T21" s="14" t="s">
        <v>29</v>
      </c>
    </row>
    <row r="22" spans="1:20" x14ac:dyDescent="0.3">
      <c r="A22" s="9">
        <v>20</v>
      </c>
      <c r="B22" s="8">
        <v>10112022</v>
      </c>
      <c r="C22" s="8" t="s">
        <v>80</v>
      </c>
      <c r="D22" s="8">
        <v>10112022</v>
      </c>
      <c r="E22" s="9"/>
      <c r="F22" s="8" t="s">
        <v>80</v>
      </c>
      <c r="G22" s="6" t="s">
        <v>37</v>
      </c>
      <c r="H22" s="6" t="s">
        <v>51</v>
      </c>
      <c r="I22" s="6">
        <v>0</v>
      </c>
      <c r="J22" s="6">
        <v>30</v>
      </c>
      <c r="K22" s="6">
        <v>0</v>
      </c>
      <c r="L22" s="6">
        <v>0</v>
      </c>
      <c r="M22" s="6" t="s">
        <v>27</v>
      </c>
      <c r="N22" s="6" t="s">
        <v>27</v>
      </c>
      <c r="O22" s="6" t="s">
        <v>27</v>
      </c>
      <c r="P22" s="9" t="s">
        <v>31</v>
      </c>
      <c r="Q22" s="10" t="s">
        <v>73</v>
      </c>
      <c r="R22" s="13" t="s">
        <v>53</v>
      </c>
      <c r="S22" s="6">
        <v>8</v>
      </c>
      <c r="T22" s="14" t="s">
        <v>29</v>
      </c>
    </row>
    <row r="23" spans="1:20" x14ac:dyDescent="0.3">
      <c r="A23" s="9">
        <v>20</v>
      </c>
      <c r="B23" s="8">
        <v>10112022</v>
      </c>
      <c r="C23" s="8" t="s">
        <v>80</v>
      </c>
      <c r="D23" s="8">
        <v>10112022</v>
      </c>
      <c r="E23" s="9"/>
      <c r="F23" s="8" t="s">
        <v>80</v>
      </c>
      <c r="G23" s="6" t="s">
        <v>37</v>
      </c>
      <c r="H23" s="6" t="s">
        <v>67</v>
      </c>
      <c r="I23" s="6">
        <v>0</v>
      </c>
      <c r="J23" s="6">
        <v>50</v>
      </c>
      <c r="K23" s="6">
        <v>0</v>
      </c>
      <c r="L23" s="6">
        <v>0</v>
      </c>
      <c r="M23" s="6" t="s">
        <v>27</v>
      </c>
      <c r="N23" s="6" t="s">
        <v>27</v>
      </c>
      <c r="O23" s="6" t="s">
        <v>27</v>
      </c>
      <c r="P23" s="9" t="s">
        <v>31</v>
      </c>
      <c r="Q23" s="10" t="s">
        <v>73</v>
      </c>
      <c r="R23" s="12" t="s">
        <v>76</v>
      </c>
      <c r="S23" s="6">
        <v>8</v>
      </c>
      <c r="T23" s="14" t="s">
        <v>29</v>
      </c>
    </row>
    <row r="24" spans="1:20" x14ac:dyDescent="0.3">
      <c r="A24" s="9">
        <v>20</v>
      </c>
      <c r="B24" s="8">
        <v>10112022</v>
      </c>
      <c r="C24" s="8" t="s">
        <v>80</v>
      </c>
      <c r="D24" s="8">
        <v>10112022</v>
      </c>
      <c r="E24" s="9"/>
      <c r="F24" s="8" t="s">
        <v>80</v>
      </c>
      <c r="G24" s="6" t="s">
        <v>37</v>
      </c>
      <c r="H24" s="6" t="s">
        <v>68</v>
      </c>
      <c r="I24" s="6">
        <v>0</v>
      </c>
      <c r="J24" s="6">
        <v>20</v>
      </c>
      <c r="K24" s="6">
        <v>0</v>
      </c>
      <c r="L24" s="6">
        <v>0</v>
      </c>
      <c r="M24" s="6" t="s">
        <v>27</v>
      </c>
      <c r="N24" s="6" t="s">
        <v>27</v>
      </c>
      <c r="O24" s="6" t="s">
        <v>27</v>
      </c>
      <c r="P24" s="9" t="s">
        <v>31</v>
      </c>
      <c r="Q24" s="10" t="s">
        <v>73</v>
      </c>
      <c r="R24" s="12" t="s">
        <v>77</v>
      </c>
      <c r="S24" s="6">
        <v>8</v>
      </c>
      <c r="T24" s="14" t="s">
        <v>29</v>
      </c>
    </row>
    <row r="25" spans="1:20" x14ac:dyDescent="0.3">
      <c r="A25" s="9">
        <v>20</v>
      </c>
      <c r="B25" s="8">
        <v>10112022</v>
      </c>
      <c r="C25" s="8" t="s">
        <v>80</v>
      </c>
      <c r="D25" s="8">
        <v>10112022</v>
      </c>
      <c r="E25" s="9"/>
      <c r="F25" s="8" t="s">
        <v>80</v>
      </c>
      <c r="G25" s="6" t="s">
        <v>37</v>
      </c>
      <c r="H25" s="6" t="s">
        <v>69</v>
      </c>
      <c r="I25" s="6">
        <v>0</v>
      </c>
      <c r="J25" s="6">
        <v>50</v>
      </c>
      <c r="K25" s="6">
        <v>0</v>
      </c>
      <c r="L25" s="6">
        <v>0</v>
      </c>
      <c r="M25" s="6" t="s">
        <v>27</v>
      </c>
      <c r="N25" s="6" t="s">
        <v>27</v>
      </c>
      <c r="O25" s="6" t="s">
        <v>27</v>
      </c>
      <c r="P25" s="9" t="s">
        <v>31</v>
      </c>
      <c r="Q25" s="10" t="s">
        <v>73</v>
      </c>
      <c r="R25" s="12" t="s">
        <v>77</v>
      </c>
      <c r="S25" s="6">
        <v>8</v>
      </c>
      <c r="T25" s="14" t="s">
        <v>29</v>
      </c>
    </row>
    <row r="26" spans="1:20" x14ac:dyDescent="0.3">
      <c r="A26" s="9">
        <v>20</v>
      </c>
      <c r="B26" s="8">
        <v>10112022</v>
      </c>
      <c r="C26" s="8" t="s">
        <v>80</v>
      </c>
      <c r="D26" s="8">
        <v>10112022</v>
      </c>
      <c r="E26" s="9"/>
      <c r="F26" s="8" t="s">
        <v>80</v>
      </c>
      <c r="G26" s="6" t="s">
        <v>37</v>
      </c>
      <c r="H26" s="6" t="s">
        <v>38</v>
      </c>
      <c r="I26" s="6">
        <v>0</v>
      </c>
      <c r="J26" s="6">
        <v>20</v>
      </c>
      <c r="K26" s="6">
        <v>0</v>
      </c>
      <c r="L26" s="6">
        <v>0</v>
      </c>
      <c r="M26" s="6" t="s">
        <v>27</v>
      </c>
      <c r="N26" s="6" t="s">
        <v>27</v>
      </c>
      <c r="O26" s="6" t="s">
        <v>27</v>
      </c>
      <c r="P26" s="9" t="s">
        <v>31</v>
      </c>
      <c r="Q26" s="10" t="s">
        <v>73</v>
      </c>
      <c r="R26" s="12" t="s">
        <v>39</v>
      </c>
      <c r="S26" s="6">
        <v>8</v>
      </c>
      <c r="T26" s="14" t="s">
        <v>29</v>
      </c>
    </row>
    <row r="27" spans="1:20" x14ac:dyDescent="0.3">
      <c r="A27" s="9">
        <v>20</v>
      </c>
      <c r="B27" s="15" t="s">
        <v>30</v>
      </c>
      <c r="C27" s="16" t="s">
        <v>61</v>
      </c>
      <c r="D27" s="15" t="s">
        <v>30</v>
      </c>
      <c r="E27" s="9"/>
      <c r="F27" s="16" t="s">
        <v>61</v>
      </c>
      <c r="G27" s="6" t="s">
        <v>81</v>
      </c>
      <c r="H27" s="6" t="s">
        <v>63</v>
      </c>
      <c r="I27" s="6">
        <v>0</v>
      </c>
      <c r="J27" s="6">
        <v>140</v>
      </c>
      <c r="K27" s="6">
        <v>0</v>
      </c>
      <c r="L27" s="6">
        <v>0</v>
      </c>
      <c r="M27" s="6" t="s">
        <v>27</v>
      </c>
      <c r="N27" s="6" t="s">
        <v>27</v>
      </c>
      <c r="O27" s="6" t="s">
        <v>27</v>
      </c>
      <c r="P27" s="9" t="s">
        <v>31</v>
      </c>
      <c r="Q27" s="10" t="s">
        <v>64</v>
      </c>
      <c r="R27" s="12" t="s">
        <v>65</v>
      </c>
      <c r="S27" s="6">
        <v>8</v>
      </c>
      <c r="T27" s="14" t="s">
        <v>29</v>
      </c>
    </row>
    <row r="28" spans="1:20" x14ac:dyDescent="0.3">
      <c r="A28" s="9">
        <v>20</v>
      </c>
      <c r="B28" s="15">
        <v>10112022</v>
      </c>
      <c r="C28" s="16" t="s">
        <v>74</v>
      </c>
      <c r="D28" s="15">
        <v>10112022</v>
      </c>
      <c r="E28" s="9"/>
      <c r="F28" s="16" t="s">
        <v>74</v>
      </c>
      <c r="G28" s="6" t="s">
        <v>81</v>
      </c>
      <c r="H28" s="6" t="s">
        <v>46</v>
      </c>
      <c r="I28" s="6">
        <v>0</v>
      </c>
      <c r="J28" s="6">
        <v>30</v>
      </c>
      <c r="K28" s="6">
        <v>0</v>
      </c>
      <c r="L28" s="6">
        <v>0</v>
      </c>
      <c r="M28" s="6" t="s">
        <v>27</v>
      </c>
      <c r="N28" s="6" t="s">
        <v>27</v>
      </c>
      <c r="O28" s="6" t="s">
        <v>27</v>
      </c>
      <c r="P28" s="9" t="s">
        <v>31</v>
      </c>
      <c r="Q28" s="11" t="s">
        <v>73</v>
      </c>
      <c r="R28" s="12" t="s">
        <v>47</v>
      </c>
      <c r="S28" s="6">
        <v>8</v>
      </c>
      <c r="T28" s="14" t="s">
        <v>29</v>
      </c>
    </row>
    <row r="29" spans="1:20" x14ac:dyDescent="0.3">
      <c r="A29" s="9">
        <v>20</v>
      </c>
      <c r="B29" s="15">
        <v>10112022</v>
      </c>
      <c r="C29" s="16" t="s">
        <v>74</v>
      </c>
      <c r="D29" s="15">
        <v>10112022</v>
      </c>
      <c r="E29" s="9"/>
      <c r="F29" s="16" t="s">
        <v>74</v>
      </c>
      <c r="G29" s="6" t="s">
        <v>81</v>
      </c>
      <c r="H29" s="6" t="s">
        <v>66</v>
      </c>
      <c r="I29" s="6">
        <v>0</v>
      </c>
      <c r="J29" s="6">
        <v>22</v>
      </c>
      <c r="K29" s="6">
        <v>0</v>
      </c>
      <c r="L29" s="6">
        <v>0</v>
      </c>
      <c r="M29" s="6" t="s">
        <v>27</v>
      </c>
      <c r="N29" s="6" t="s">
        <v>27</v>
      </c>
      <c r="O29" s="6" t="s">
        <v>27</v>
      </c>
      <c r="P29" s="9" t="s">
        <v>31</v>
      </c>
      <c r="Q29" s="11" t="s">
        <v>73</v>
      </c>
      <c r="R29" s="12" t="s">
        <v>75</v>
      </c>
      <c r="S29" s="6">
        <v>8</v>
      </c>
      <c r="T29" s="14" t="s">
        <v>29</v>
      </c>
    </row>
    <row r="30" spans="1:20" x14ac:dyDescent="0.3">
      <c r="A30" s="9">
        <v>20</v>
      </c>
      <c r="B30" s="15">
        <v>10112022</v>
      </c>
      <c r="C30" s="16" t="s">
        <v>74</v>
      </c>
      <c r="D30" s="15">
        <v>10112022</v>
      </c>
      <c r="E30" s="9"/>
      <c r="F30" s="16" t="s">
        <v>74</v>
      </c>
      <c r="G30" s="6" t="s">
        <v>81</v>
      </c>
      <c r="H30" s="6" t="s">
        <v>51</v>
      </c>
      <c r="I30" s="6">
        <v>0</v>
      </c>
      <c r="J30" s="6">
        <v>27</v>
      </c>
      <c r="K30" s="6">
        <v>0</v>
      </c>
      <c r="L30" s="6">
        <v>0</v>
      </c>
      <c r="M30" s="6" t="s">
        <v>27</v>
      </c>
      <c r="N30" s="6" t="s">
        <v>27</v>
      </c>
      <c r="O30" s="6" t="s">
        <v>27</v>
      </c>
      <c r="P30" s="9" t="s">
        <v>31</v>
      </c>
      <c r="Q30" s="11" t="s">
        <v>73</v>
      </c>
      <c r="R30" s="12" t="s">
        <v>53</v>
      </c>
      <c r="S30" s="6">
        <v>8</v>
      </c>
      <c r="T30" s="14" t="s">
        <v>29</v>
      </c>
    </row>
    <row r="31" spans="1:20" x14ac:dyDescent="0.3">
      <c r="A31" s="9">
        <v>20</v>
      </c>
      <c r="B31" s="15">
        <v>10112022</v>
      </c>
      <c r="C31" s="16" t="s">
        <v>74</v>
      </c>
      <c r="D31" s="15">
        <v>10112022</v>
      </c>
      <c r="E31" s="9"/>
      <c r="F31" s="16" t="s">
        <v>74</v>
      </c>
      <c r="G31" s="6" t="s">
        <v>81</v>
      </c>
      <c r="H31" s="6" t="s">
        <v>67</v>
      </c>
      <c r="I31" s="6">
        <v>0</v>
      </c>
      <c r="J31" s="6">
        <v>60</v>
      </c>
      <c r="K31" s="6">
        <v>0</v>
      </c>
      <c r="L31" s="6">
        <v>0</v>
      </c>
      <c r="M31" s="6" t="s">
        <v>27</v>
      </c>
      <c r="N31" s="6" t="s">
        <v>27</v>
      </c>
      <c r="O31" s="6" t="s">
        <v>27</v>
      </c>
      <c r="P31" s="9" t="s">
        <v>31</v>
      </c>
      <c r="Q31" s="11" t="s">
        <v>73</v>
      </c>
      <c r="R31" s="12" t="s">
        <v>76</v>
      </c>
      <c r="S31" s="6">
        <v>8</v>
      </c>
      <c r="T31" s="14" t="s">
        <v>29</v>
      </c>
    </row>
    <row r="32" spans="1:20" x14ac:dyDescent="0.3">
      <c r="A32" s="9">
        <v>20</v>
      </c>
      <c r="B32" s="15">
        <v>10112022</v>
      </c>
      <c r="C32" s="16" t="s">
        <v>74</v>
      </c>
      <c r="D32" s="15">
        <v>10112022</v>
      </c>
      <c r="E32" s="9"/>
      <c r="F32" s="16" t="s">
        <v>74</v>
      </c>
      <c r="G32" s="6" t="s">
        <v>81</v>
      </c>
      <c r="H32" s="6" t="s">
        <v>68</v>
      </c>
      <c r="I32" s="6">
        <v>0</v>
      </c>
      <c r="J32" s="6">
        <v>71</v>
      </c>
      <c r="K32" s="6">
        <v>0</v>
      </c>
      <c r="L32" s="6">
        <v>0</v>
      </c>
      <c r="M32" s="6" t="s">
        <v>27</v>
      </c>
      <c r="N32" s="6" t="s">
        <v>27</v>
      </c>
      <c r="O32" s="6" t="s">
        <v>27</v>
      </c>
      <c r="P32" s="9" t="s">
        <v>31</v>
      </c>
      <c r="Q32" s="11" t="s">
        <v>73</v>
      </c>
      <c r="R32" s="12" t="s">
        <v>77</v>
      </c>
      <c r="S32" s="6">
        <v>8</v>
      </c>
      <c r="T32" s="14" t="s">
        <v>29</v>
      </c>
    </row>
    <row r="33" spans="1:20" x14ac:dyDescent="0.3">
      <c r="A33" s="9">
        <v>20</v>
      </c>
      <c r="B33" s="15">
        <v>10112022</v>
      </c>
      <c r="C33" s="16" t="s">
        <v>74</v>
      </c>
      <c r="D33" s="15">
        <v>10112022</v>
      </c>
      <c r="E33" s="9"/>
      <c r="F33" s="16" t="s">
        <v>74</v>
      </c>
      <c r="G33" s="6" t="s">
        <v>81</v>
      </c>
      <c r="H33" s="6" t="s">
        <v>69</v>
      </c>
      <c r="I33" s="6">
        <v>0</v>
      </c>
      <c r="J33" s="6">
        <v>50</v>
      </c>
      <c r="K33" s="6">
        <v>0</v>
      </c>
      <c r="L33" s="6">
        <v>0</v>
      </c>
      <c r="M33" s="6" t="s">
        <v>27</v>
      </c>
      <c r="N33" s="6" t="s">
        <v>27</v>
      </c>
      <c r="O33" s="6" t="s">
        <v>27</v>
      </c>
      <c r="P33" s="9" t="s">
        <v>31</v>
      </c>
      <c r="Q33" s="11" t="s">
        <v>73</v>
      </c>
      <c r="R33" s="12" t="s">
        <v>77</v>
      </c>
      <c r="S33" s="6">
        <v>8</v>
      </c>
      <c r="T33" s="14" t="s">
        <v>29</v>
      </c>
    </row>
    <row r="34" spans="1:20" x14ac:dyDescent="0.3">
      <c r="A34" s="9">
        <v>20</v>
      </c>
      <c r="B34" s="15">
        <v>10112022</v>
      </c>
      <c r="C34" s="16" t="s">
        <v>74</v>
      </c>
      <c r="D34" s="15">
        <v>10112022</v>
      </c>
      <c r="E34" s="9"/>
      <c r="F34" s="16" t="s">
        <v>74</v>
      </c>
      <c r="G34" s="6" t="s">
        <v>81</v>
      </c>
      <c r="H34" s="6" t="s">
        <v>70</v>
      </c>
      <c r="I34" s="6">
        <v>0</v>
      </c>
      <c r="J34" s="6">
        <v>40</v>
      </c>
      <c r="K34" s="6">
        <v>0</v>
      </c>
      <c r="L34" s="6">
        <v>0</v>
      </c>
      <c r="M34" s="6" t="s">
        <v>27</v>
      </c>
      <c r="N34" s="6" t="s">
        <v>27</v>
      </c>
      <c r="O34" s="6" t="s">
        <v>27</v>
      </c>
      <c r="P34" s="9" t="s">
        <v>31</v>
      </c>
      <c r="Q34" s="11" t="s">
        <v>73</v>
      </c>
      <c r="R34" s="12" t="s">
        <v>78</v>
      </c>
      <c r="S34" s="6">
        <v>8</v>
      </c>
      <c r="T34" s="14" t="s">
        <v>29</v>
      </c>
    </row>
    <row r="35" spans="1:20" x14ac:dyDescent="0.3">
      <c r="A35" s="9">
        <v>20</v>
      </c>
      <c r="B35" s="15">
        <v>10112022</v>
      </c>
      <c r="C35" s="16" t="s">
        <v>74</v>
      </c>
      <c r="D35" s="15">
        <v>10112022</v>
      </c>
      <c r="E35" s="9"/>
      <c r="F35" s="16" t="s">
        <v>74</v>
      </c>
      <c r="G35" s="6" t="s">
        <v>81</v>
      </c>
      <c r="H35" s="6" t="s">
        <v>38</v>
      </c>
      <c r="I35" s="6">
        <v>0</v>
      </c>
      <c r="J35" s="6">
        <v>24</v>
      </c>
      <c r="K35" s="6">
        <v>0</v>
      </c>
      <c r="L35" s="6">
        <v>0</v>
      </c>
      <c r="M35" s="6" t="s">
        <v>27</v>
      </c>
      <c r="N35" s="6" t="s">
        <v>27</v>
      </c>
      <c r="O35" s="6" t="s">
        <v>27</v>
      </c>
      <c r="P35" s="9" t="s">
        <v>31</v>
      </c>
      <c r="Q35" s="11" t="s">
        <v>73</v>
      </c>
      <c r="R35" s="12" t="s">
        <v>39</v>
      </c>
      <c r="S35" s="6">
        <v>8</v>
      </c>
      <c r="T35" s="14" t="s">
        <v>29</v>
      </c>
    </row>
    <row r="36" spans="1:20" x14ac:dyDescent="0.3">
      <c r="A36" s="9">
        <v>20</v>
      </c>
      <c r="B36" s="15">
        <v>10112022</v>
      </c>
      <c r="C36" s="16" t="s">
        <v>74</v>
      </c>
      <c r="D36" s="15">
        <v>10112022</v>
      </c>
      <c r="E36" s="9"/>
      <c r="F36" s="16" t="s">
        <v>74</v>
      </c>
      <c r="G36" s="6" t="s">
        <v>81</v>
      </c>
      <c r="H36" s="6" t="s">
        <v>40</v>
      </c>
      <c r="I36" s="6">
        <v>0</v>
      </c>
      <c r="J36" s="6">
        <v>41</v>
      </c>
      <c r="K36" s="6">
        <v>0</v>
      </c>
      <c r="L36" s="6">
        <v>0</v>
      </c>
      <c r="M36" s="6" t="s">
        <v>27</v>
      </c>
      <c r="N36" s="6" t="s">
        <v>27</v>
      </c>
      <c r="O36" s="6" t="s">
        <v>27</v>
      </c>
      <c r="P36" s="9" t="s">
        <v>31</v>
      </c>
      <c r="Q36" s="11" t="s">
        <v>73</v>
      </c>
      <c r="R36" s="12" t="s">
        <v>41</v>
      </c>
      <c r="S36" s="6">
        <v>8</v>
      </c>
      <c r="T36" s="14" t="s">
        <v>29</v>
      </c>
    </row>
    <row r="37" spans="1:20" x14ac:dyDescent="0.3">
      <c r="A37" s="9">
        <v>20</v>
      </c>
      <c r="B37" s="15">
        <v>10112022</v>
      </c>
      <c r="C37" s="16" t="s">
        <v>74</v>
      </c>
      <c r="D37" s="15">
        <v>10112022</v>
      </c>
      <c r="E37" s="9"/>
      <c r="F37" s="16" t="s">
        <v>74</v>
      </c>
      <c r="G37" s="6" t="s">
        <v>81</v>
      </c>
      <c r="H37" s="6" t="s">
        <v>42</v>
      </c>
      <c r="I37" s="6">
        <v>0</v>
      </c>
      <c r="J37" s="6">
        <v>41</v>
      </c>
      <c r="K37" s="6">
        <v>0</v>
      </c>
      <c r="L37" s="6">
        <v>0</v>
      </c>
      <c r="M37" s="6" t="s">
        <v>27</v>
      </c>
      <c r="N37" s="6" t="s">
        <v>27</v>
      </c>
      <c r="O37" s="6" t="s">
        <v>27</v>
      </c>
      <c r="P37" s="9" t="s">
        <v>31</v>
      </c>
      <c r="Q37" s="11" t="s">
        <v>73</v>
      </c>
      <c r="R37" s="12" t="s">
        <v>44</v>
      </c>
      <c r="S37" s="6">
        <v>8</v>
      </c>
      <c r="T37" s="14" t="s">
        <v>29</v>
      </c>
    </row>
    <row r="38" spans="1:20" x14ac:dyDescent="0.3">
      <c r="A38" s="9">
        <v>20</v>
      </c>
      <c r="B38" s="15">
        <v>10112022</v>
      </c>
      <c r="C38" s="16" t="s">
        <v>74</v>
      </c>
      <c r="D38" s="15">
        <v>10112022</v>
      </c>
      <c r="E38" s="9"/>
      <c r="F38" s="16" t="s">
        <v>74</v>
      </c>
      <c r="G38" s="6" t="s">
        <v>81</v>
      </c>
      <c r="H38" s="6" t="s">
        <v>71</v>
      </c>
      <c r="I38" s="6">
        <v>0</v>
      </c>
      <c r="J38" s="6">
        <v>41</v>
      </c>
      <c r="K38" s="6">
        <v>0</v>
      </c>
      <c r="L38" s="6">
        <v>0</v>
      </c>
      <c r="M38" s="6" t="s">
        <v>27</v>
      </c>
      <c r="N38" s="6" t="s">
        <v>27</v>
      </c>
      <c r="O38" s="6" t="s">
        <v>27</v>
      </c>
      <c r="P38" s="9" t="s">
        <v>31</v>
      </c>
      <c r="Q38" s="11" t="s">
        <v>73</v>
      </c>
      <c r="R38" s="12" t="s">
        <v>79</v>
      </c>
      <c r="S38" s="6">
        <v>8</v>
      </c>
      <c r="T38" s="14" t="s">
        <v>29</v>
      </c>
    </row>
    <row r="39" spans="1:20" x14ac:dyDescent="0.3">
      <c r="A39" s="9">
        <v>20</v>
      </c>
      <c r="B39" s="15">
        <v>10112022</v>
      </c>
      <c r="C39" s="16" t="s">
        <v>74</v>
      </c>
      <c r="D39" s="15">
        <v>10112022</v>
      </c>
      <c r="E39" s="9"/>
      <c r="F39" s="16" t="s">
        <v>74</v>
      </c>
      <c r="G39" s="6" t="s">
        <v>81</v>
      </c>
      <c r="H39" s="6" t="s">
        <v>43</v>
      </c>
      <c r="I39" s="6">
        <v>0</v>
      </c>
      <c r="J39" s="6">
        <v>73</v>
      </c>
      <c r="K39" s="6">
        <v>0</v>
      </c>
      <c r="L39" s="6">
        <v>0</v>
      </c>
      <c r="M39" s="6" t="s">
        <v>27</v>
      </c>
      <c r="N39" s="6" t="s">
        <v>27</v>
      </c>
      <c r="O39" s="6" t="s">
        <v>27</v>
      </c>
      <c r="P39" s="9" t="s">
        <v>31</v>
      </c>
      <c r="Q39" s="11" t="s">
        <v>73</v>
      </c>
      <c r="R39" s="12" t="s">
        <v>45</v>
      </c>
      <c r="S39" s="6">
        <v>8</v>
      </c>
      <c r="T39" s="14" t="s">
        <v>29</v>
      </c>
    </row>
    <row r="40" spans="1:20" x14ac:dyDescent="0.3">
      <c r="A40" s="9">
        <v>20</v>
      </c>
      <c r="B40" s="15">
        <v>10112022</v>
      </c>
      <c r="C40" s="16" t="s">
        <v>74</v>
      </c>
      <c r="D40" s="15">
        <v>10112022</v>
      </c>
      <c r="E40" s="9"/>
      <c r="F40" s="16" t="s">
        <v>74</v>
      </c>
      <c r="G40" s="6" t="s">
        <v>81</v>
      </c>
      <c r="H40" s="6" t="s">
        <v>72</v>
      </c>
      <c r="I40" s="6">
        <v>0</v>
      </c>
      <c r="J40" s="6">
        <v>60</v>
      </c>
      <c r="K40" s="6">
        <v>0</v>
      </c>
      <c r="L40" s="6">
        <v>0</v>
      </c>
      <c r="M40" s="6" t="s">
        <v>27</v>
      </c>
      <c r="N40" s="6" t="s">
        <v>27</v>
      </c>
      <c r="O40" s="6" t="s">
        <v>27</v>
      </c>
      <c r="P40" s="9" t="s">
        <v>31</v>
      </c>
      <c r="Q40" s="11" t="s">
        <v>73</v>
      </c>
      <c r="R40" s="12" t="s">
        <v>49</v>
      </c>
      <c r="S40" s="6">
        <v>8</v>
      </c>
      <c r="T40" s="14" t="s">
        <v>29</v>
      </c>
    </row>
    <row r="41" spans="1:20" x14ac:dyDescent="0.3">
      <c r="A41" s="9">
        <v>20</v>
      </c>
      <c r="B41" s="15">
        <v>10112022</v>
      </c>
      <c r="C41" s="16" t="s">
        <v>74</v>
      </c>
      <c r="D41" s="15">
        <v>10112022</v>
      </c>
      <c r="E41" s="9"/>
      <c r="F41" s="16" t="s">
        <v>74</v>
      </c>
      <c r="G41" s="6" t="s">
        <v>81</v>
      </c>
      <c r="H41" s="6" t="s">
        <v>48</v>
      </c>
      <c r="I41" s="6">
        <v>0</v>
      </c>
      <c r="J41" s="6">
        <v>60</v>
      </c>
      <c r="K41" s="6">
        <v>0</v>
      </c>
      <c r="L41" s="6">
        <v>0</v>
      </c>
      <c r="M41" s="6" t="s">
        <v>27</v>
      </c>
      <c r="N41" s="6" t="s">
        <v>27</v>
      </c>
      <c r="O41" s="6" t="s">
        <v>27</v>
      </c>
      <c r="P41" s="9" t="s">
        <v>31</v>
      </c>
      <c r="Q41" s="11" t="s">
        <v>73</v>
      </c>
      <c r="R41" s="12" t="s">
        <v>49</v>
      </c>
      <c r="S41" s="6">
        <v>8</v>
      </c>
      <c r="T41" s="14" t="s">
        <v>29</v>
      </c>
    </row>
    <row r="42" spans="1:20" x14ac:dyDescent="0.3">
      <c r="A42" s="9">
        <v>20</v>
      </c>
      <c r="B42" s="15">
        <v>10112022</v>
      </c>
      <c r="C42" s="16" t="s">
        <v>74</v>
      </c>
      <c r="D42" s="15">
        <v>10112022</v>
      </c>
      <c r="E42" s="9"/>
      <c r="F42" s="16" t="s">
        <v>74</v>
      </c>
      <c r="G42" s="6" t="s">
        <v>81</v>
      </c>
      <c r="H42" s="6" t="s">
        <v>50</v>
      </c>
      <c r="I42" s="6">
        <v>0</v>
      </c>
      <c r="J42" s="6">
        <v>84</v>
      </c>
      <c r="K42" s="6">
        <v>0</v>
      </c>
      <c r="L42" s="6">
        <v>0</v>
      </c>
      <c r="M42" s="6" t="s">
        <v>27</v>
      </c>
      <c r="N42" s="6" t="s">
        <v>27</v>
      </c>
      <c r="O42" s="6" t="s">
        <v>27</v>
      </c>
      <c r="P42" s="9" t="s">
        <v>31</v>
      </c>
      <c r="Q42" s="11" t="s">
        <v>73</v>
      </c>
      <c r="R42" s="12" t="s">
        <v>52</v>
      </c>
      <c r="S42" s="6">
        <v>8</v>
      </c>
      <c r="T42" s="14" t="s">
        <v>29</v>
      </c>
    </row>
    <row r="43" spans="1:20" x14ac:dyDescent="0.3">
      <c r="A43" s="9">
        <v>20</v>
      </c>
      <c r="B43" s="15">
        <v>10112022</v>
      </c>
      <c r="C43" s="16" t="s">
        <v>80</v>
      </c>
      <c r="D43" s="15">
        <v>10112022</v>
      </c>
      <c r="E43" s="9"/>
      <c r="F43" s="16" t="s">
        <v>80</v>
      </c>
      <c r="G43" s="6" t="s">
        <v>81</v>
      </c>
      <c r="H43" s="6" t="s">
        <v>46</v>
      </c>
      <c r="I43" s="6">
        <v>0</v>
      </c>
      <c r="J43" s="6">
        <v>30</v>
      </c>
      <c r="K43" s="6">
        <v>0</v>
      </c>
      <c r="L43" s="6">
        <v>0</v>
      </c>
      <c r="M43" s="6" t="s">
        <v>27</v>
      </c>
      <c r="N43" s="6" t="s">
        <v>27</v>
      </c>
      <c r="O43" s="6" t="s">
        <v>27</v>
      </c>
      <c r="P43" s="9" t="s">
        <v>31</v>
      </c>
      <c r="Q43" s="11" t="s">
        <v>73</v>
      </c>
      <c r="R43" s="12" t="s">
        <v>47</v>
      </c>
      <c r="S43" s="6">
        <v>8</v>
      </c>
      <c r="T43" s="14" t="s">
        <v>29</v>
      </c>
    </row>
    <row r="44" spans="1:20" x14ac:dyDescent="0.3">
      <c r="A44" s="9">
        <v>20</v>
      </c>
      <c r="B44" s="15">
        <v>10112022</v>
      </c>
      <c r="C44" s="16" t="s">
        <v>80</v>
      </c>
      <c r="D44" s="15">
        <v>10112022</v>
      </c>
      <c r="E44" s="9"/>
      <c r="F44" s="16" t="s">
        <v>80</v>
      </c>
      <c r="G44" s="6" t="s">
        <v>81</v>
      </c>
      <c r="H44" s="6" t="s">
        <v>66</v>
      </c>
      <c r="I44" s="6">
        <v>0</v>
      </c>
      <c r="J44" s="6">
        <v>30</v>
      </c>
      <c r="K44" s="6">
        <v>0</v>
      </c>
      <c r="L44" s="6">
        <v>0</v>
      </c>
      <c r="M44" s="6" t="s">
        <v>27</v>
      </c>
      <c r="N44" s="6" t="s">
        <v>27</v>
      </c>
      <c r="O44" s="6" t="s">
        <v>27</v>
      </c>
      <c r="P44" s="9" t="s">
        <v>31</v>
      </c>
      <c r="Q44" s="11" t="s">
        <v>73</v>
      </c>
      <c r="R44" s="12" t="s">
        <v>75</v>
      </c>
      <c r="S44" s="6">
        <v>8</v>
      </c>
      <c r="T44" s="14" t="s">
        <v>29</v>
      </c>
    </row>
    <row r="45" spans="1:20" x14ac:dyDescent="0.3">
      <c r="A45" s="9">
        <v>20</v>
      </c>
      <c r="B45" s="15">
        <v>10112022</v>
      </c>
      <c r="C45" s="16" t="s">
        <v>80</v>
      </c>
      <c r="D45" s="15">
        <v>10112022</v>
      </c>
      <c r="E45" s="9"/>
      <c r="F45" s="16" t="s">
        <v>80</v>
      </c>
      <c r="G45" s="6" t="s">
        <v>81</v>
      </c>
      <c r="H45" s="6" t="s">
        <v>51</v>
      </c>
      <c r="I45" s="6">
        <v>0</v>
      </c>
      <c r="J45" s="6">
        <v>30</v>
      </c>
      <c r="K45" s="6">
        <v>0</v>
      </c>
      <c r="L45" s="6">
        <v>0</v>
      </c>
      <c r="M45" s="6" t="s">
        <v>27</v>
      </c>
      <c r="N45" s="6" t="s">
        <v>27</v>
      </c>
      <c r="O45" s="6" t="s">
        <v>27</v>
      </c>
      <c r="P45" s="9" t="s">
        <v>31</v>
      </c>
      <c r="Q45" s="11" t="s">
        <v>73</v>
      </c>
      <c r="R45" s="12" t="s">
        <v>53</v>
      </c>
      <c r="S45" s="6">
        <v>8</v>
      </c>
      <c r="T45" s="14" t="s">
        <v>29</v>
      </c>
    </row>
    <row r="46" spans="1:20" x14ac:dyDescent="0.3">
      <c r="A46" s="9">
        <v>20</v>
      </c>
      <c r="B46" s="15">
        <v>10112022</v>
      </c>
      <c r="C46" s="16" t="s">
        <v>80</v>
      </c>
      <c r="D46" s="15">
        <v>10112022</v>
      </c>
      <c r="E46" s="9"/>
      <c r="F46" s="16" t="s">
        <v>80</v>
      </c>
      <c r="G46" s="6" t="s">
        <v>81</v>
      </c>
      <c r="H46" s="6" t="s">
        <v>67</v>
      </c>
      <c r="I46" s="6">
        <v>0</v>
      </c>
      <c r="J46" s="6">
        <v>50</v>
      </c>
      <c r="K46" s="6">
        <v>0</v>
      </c>
      <c r="L46" s="6">
        <v>0</v>
      </c>
      <c r="M46" s="6" t="s">
        <v>27</v>
      </c>
      <c r="N46" s="6" t="s">
        <v>27</v>
      </c>
      <c r="O46" s="6" t="s">
        <v>27</v>
      </c>
      <c r="P46" s="9" t="s">
        <v>31</v>
      </c>
      <c r="Q46" s="11" t="s">
        <v>73</v>
      </c>
      <c r="R46" s="12" t="s">
        <v>76</v>
      </c>
      <c r="S46" s="6">
        <v>8</v>
      </c>
      <c r="T46" s="14" t="s">
        <v>29</v>
      </c>
    </row>
    <row r="47" spans="1:20" x14ac:dyDescent="0.3">
      <c r="A47" s="9">
        <v>20</v>
      </c>
      <c r="B47" s="15">
        <v>10112022</v>
      </c>
      <c r="C47" s="16" t="s">
        <v>80</v>
      </c>
      <c r="D47" s="15">
        <v>10112022</v>
      </c>
      <c r="E47" s="9"/>
      <c r="F47" s="16" t="s">
        <v>80</v>
      </c>
      <c r="G47" s="6" t="s">
        <v>81</v>
      </c>
      <c r="H47" s="6" t="s">
        <v>68</v>
      </c>
      <c r="I47" s="6">
        <v>0</v>
      </c>
      <c r="J47" s="6">
        <v>20</v>
      </c>
      <c r="K47" s="6">
        <v>0</v>
      </c>
      <c r="L47" s="6">
        <v>0</v>
      </c>
      <c r="M47" s="6" t="s">
        <v>27</v>
      </c>
      <c r="N47" s="6" t="s">
        <v>27</v>
      </c>
      <c r="O47" s="6" t="s">
        <v>27</v>
      </c>
      <c r="P47" s="9" t="s">
        <v>31</v>
      </c>
      <c r="Q47" s="11" t="s">
        <v>73</v>
      </c>
      <c r="R47" s="12" t="s">
        <v>77</v>
      </c>
      <c r="S47" s="6">
        <v>8</v>
      </c>
      <c r="T47" s="14" t="s">
        <v>29</v>
      </c>
    </row>
    <row r="48" spans="1:20" x14ac:dyDescent="0.3">
      <c r="A48" s="9">
        <v>20</v>
      </c>
      <c r="B48" s="15">
        <v>10112022</v>
      </c>
      <c r="C48" s="16" t="s">
        <v>80</v>
      </c>
      <c r="D48" s="15">
        <v>10112022</v>
      </c>
      <c r="E48" s="9"/>
      <c r="F48" s="16" t="s">
        <v>80</v>
      </c>
      <c r="G48" s="6" t="s">
        <v>81</v>
      </c>
      <c r="H48" s="6" t="s">
        <v>69</v>
      </c>
      <c r="I48" s="6">
        <v>0</v>
      </c>
      <c r="J48" s="6">
        <v>50</v>
      </c>
      <c r="K48" s="6">
        <v>0</v>
      </c>
      <c r="L48" s="6">
        <v>0</v>
      </c>
      <c r="M48" s="6" t="s">
        <v>27</v>
      </c>
      <c r="N48" s="6" t="s">
        <v>27</v>
      </c>
      <c r="O48" s="6" t="s">
        <v>27</v>
      </c>
      <c r="P48" s="9" t="s">
        <v>31</v>
      </c>
      <c r="Q48" s="11" t="s">
        <v>73</v>
      </c>
      <c r="R48" s="12" t="s">
        <v>77</v>
      </c>
      <c r="S48" s="6">
        <v>8</v>
      </c>
      <c r="T48" s="14" t="s">
        <v>29</v>
      </c>
    </row>
    <row r="49" spans="1:20" x14ac:dyDescent="0.3">
      <c r="A49" s="9">
        <v>20</v>
      </c>
      <c r="B49" s="15">
        <v>10112022</v>
      </c>
      <c r="C49" s="16" t="s">
        <v>80</v>
      </c>
      <c r="D49" s="15">
        <v>10112022</v>
      </c>
      <c r="E49" s="9"/>
      <c r="F49" s="16" t="s">
        <v>80</v>
      </c>
      <c r="G49" s="6" t="s">
        <v>81</v>
      </c>
      <c r="H49" s="6" t="s">
        <v>38</v>
      </c>
      <c r="I49" s="6">
        <v>0</v>
      </c>
      <c r="J49" s="6">
        <v>20</v>
      </c>
      <c r="K49" s="6">
        <v>0</v>
      </c>
      <c r="L49" s="6">
        <v>0</v>
      </c>
      <c r="M49" s="6" t="s">
        <v>27</v>
      </c>
      <c r="N49" s="6" t="s">
        <v>27</v>
      </c>
      <c r="O49" s="6" t="s">
        <v>27</v>
      </c>
      <c r="P49" s="9" t="s">
        <v>31</v>
      </c>
      <c r="Q49" s="11" t="s">
        <v>73</v>
      </c>
      <c r="R49" s="12" t="s">
        <v>39</v>
      </c>
      <c r="S49" s="6">
        <v>8</v>
      </c>
      <c r="T49" s="14" t="s">
        <v>29</v>
      </c>
    </row>
    <row r="50" spans="1:20" x14ac:dyDescent="0.3">
      <c r="A50" s="9">
        <v>20</v>
      </c>
      <c r="B50" s="15">
        <v>18112022</v>
      </c>
      <c r="C50" s="16" t="s">
        <v>84</v>
      </c>
      <c r="D50" s="15">
        <v>18112022</v>
      </c>
      <c r="E50" s="9"/>
      <c r="F50" s="16" t="s">
        <v>84</v>
      </c>
      <c r="G50" s="6" t="s">
        <v>81</v>
      </c>
      <c r="H50" s="6" t="s">
        <v>46</v>
      </c>
      <c r="I50" s="6">
        <v>0</v>
      </c>
      <c r="J50" s="6">
        <v>193</v>
      </c>
      <c r="K50" s="6">
        <v>0</v>
      </c>
      <c r="L50" s="6" t="s">
        <v>27</v>
      </c>
      <c r="M50" s="6" t="s">
        <v>27</v>
      </c>
      <c r="N50" s="6" t="s">
        <v>27</v>
      </c>
      <c r="O50" s="6" t="s">
        <v>27</v>
      </c>
      <c r="P50" s="9" t="s">
        <v>31</v>
      </c>
      <c r="Q50" s="10" t="s">
        <v>85</v>
      </c>
      <c r="R50" s="12" t="s">
        <v>47</v>
      </c>
      <c r="S50" s="6">
        <v>8</v>
      </c>
      <c r="T50" s="14" t="s">
        <v>29</v>
      </c>
    </row>
    <row r="51" spans="1:20" x14ac:dyDescent="0.3">
      <c r="A51" s="9">
        <v>20</v>
      </c>
      <c r="B51" s="15">
        <v>18112022</v>
      </c>
      <c r="C51" s="16" t="s">
        <v>84</v>
      </c>
      <c r="D51" s="15">
        <v>18112022</v>
      </c>
      <c r="E51" s="9"/>
      <c r="F51" s="16" t="s">
        <v>84</v>
      </c>
      <c r="G51" s="6" t="s">
        <v>81</v>
      </c>
      <c r="H51" s="6" t="s">
        <v>66</v>
      </c>
      <c r="I51" s="6">
        <v>0</v>
      </c>
      <c r="J51" s="6">
        <v>926</v>
      </c>
      <c r="K51" s="6">
        <v>0</v>
      </c>
      <c r="L51" s="6" t="s">
        <v>27</v>
      </c>
      <c r="M51" s="6" t="s">
        <v>27</v>
      </c>
      <c r="N51" s="6" t="s">
        <v>27</v>
      </c>
      <c r="O51" s="6" t="s">
        <v>27</v>
      </c>
      <c r="P51" s="9" t="s">
        <v>31</v>
      </c>
      <c r="Q51" s="10" t="s">
        <v>85</v>
      </c>
      <c r="R51" s="12" t="s">
        <v>75</v>
      </c>
      <c r="S51" s="6">
        <v>8</v>
      </c>
      <c r="T51" s="14" t="s">
        <v>29</v>
      </c>
    </row>
    <row r="52" spans="1:20" x14ac:dyDescent="0.3">
      <c r="A52" s="9">
        <v>20</v>
      </c>
      <c r="B52" s="15">
        <v>18112022</v>
      </c>
      <c r="C52" s="16" t="s">
        <v>84</v>
      </c>
      <c r="D52" s="15">
        <v>18112022</v>
      </c>
      <c r="E52" s="9"/>
      <c r="F52" s="16" t="s">
        <v>84</v>
      </c>
      <c r="G52" s="6" t="s">
        <v>81</v>
      </c>
      <c r="H52" s="6" t="s">
        <v>46</v>
      </c>
      <c r="I52" s="6">
        <v>0</v>
      </c>
      <c r="J52" s="6">
        <v>389</v>
      </c>
      <c r="K52" s="6">
        <v>0</v>
      </c>
      <c r="L52" s="6" t="s">
        <v>27</v>
      </c>
      <c r="M52" s="6" t="s">
        <v>27</v>
      </c>
      <c r="N52" s="6" t="s">
        <v>27</v>
      </c>
      <c r="O52" s="6" t="s">
        <v>27</v>
      </c>
      <c r="P52" s="9" t="s">
        <v>31</v>
      </c>
      <c r="Q52" s="10" t="s">
        <v>85</v>
      </c>
      <c r="R52" s="12" t="s">
        <v>53</v>
      </c>
      <c r="S52" s="6">
        <v>8</v>
      </c>
      <c r="T52" s="14" t="s">
        <v>29</v>
      </c>
    </row>
    <row r="53" spans="1:20" x14ac:dyDescent="0.3">
      <c r="A53" s="9">
        <v>800</v>
      </c>
      <c r="B53" s="15">
        <v>18112022</v>
      </c>
      <c r="C53" s="16" t="s">
        <v>86</v>
      </c>
      <c r="D53" s="15">
        <v>18112022</v>
      </c>
      <c r="E53" s="9" t="s">
        <v>17</v>
      </c>
      <c r="F53" s="16" t="s">
        <v>86</v>
      </c>
      <c r="G53" s="6" t="s">
        <v>88</v>
      </c>
      <c r="H53" s="6" t="s">
        <v>89</v>
      </c>
      <c r="I53" s="6">
        <v>0</v>
      </c>
      <c r="J53" s="6">
        <v>960</v>
      </c>
      <c r="K53" s="6">
        <v>0</v>
      </c>
      <c r="L53" s="6" t="s">
        <v>27</v>
      </c>
      <c r="M53" s="6" t="s">
        <v>27</v>
      </c>
      <c r="N53" s="6" t="s">
        <v>27</v>
      </c>
      <c r="O53" s="6" t="s">
        <v>27</v>
      </c>
      <c r="P53" s="9" t="s">
        <v>16</v>
      </c>
      <c r="Q53" s="11" t="s">
        <v>57</v>
      </c>
      <c r="R53" s="12" t="s">
        <v>91</v>
      </c>
      <c r="S53" s="6">
        <v>8</v>
      </c>
      <c r="T53" s="14" t="s">
        <v>22</v>
      </c>
    </row>
    <row r="54" spans="1:20" x14ac:dyDescent="0.3">
      <c r="A54" s="9">
        <v>800</v>
      </c>
      <c r="B54" s="15">
        <v>18112022</v>
      </c>
      <c r="C54" s="16" t="s">
        <v>86</v>
      </c>
      <c r="D54" s="15">
        <v>18112022</v>
      </c>
      <c r="E54" s="9" t="s">
        <v>17</v>
      </c>
      <c r="F54" s="16" t="s">
        <v>86</v>
      </c>
      <c r="G54" s="6" t="s">
        <v>88</v>
      </c>
      <c r="H54" s="6" t="s">
        <v>113</v>
      </c>
      <c r="I54" s="6">
        <v>0</v>
      </c>
      <c r="J54" s="6">
        <v>512</v>
      </c>
      <c r="K54" s="6">
        <v>0</v>
      </c>
      <c r="L54" s="6" t="s">
        <v>27</v>
      </c>
      <c r="M54" s="6" t="s">
        <v>27</v>
      </c>
      <c r="N54" s="6" t="s">
        <v>27</v>
      </c>
      <c r="O54" s="6" t="s">
        <v>27</v>
      </c>
      <c r="P54" s="9" t="s">
        <v>16</v>
      </c>
      <c r="Q54" s="11" t="s">
        <v>57</v>
      </c>
      <c r="R54" s="12" t="s">
        <v>91</v>
      </c>
      <c r="S54" s="6">
        <v>8</v>
      </c>
      <c r="T54" s="14" t="s">
        <v>22</v>
      </c>
    </row>
    <row r="55" spans="1:20" x14ac:dyDescent="0.3">
      <c r="A55" s="9">
        <v>801</v>
      </c>
      <c r="B55" s="15">
        <v>23112022</v>
      </c>
      <c r="C55" s="16" t="s">
        <v>92</v>
      </c>
      <c r="D55" s="15">
        <v>23112022</v>
      </c>
      <c r="E55" s="9" t="s">
        <v>17</v>
      </c>
      <c r="F55" s="16" t="s">
        <v>92</v>
      </c>
      <c r="G55" s="6" t="s">
        <v>24</v>
      </c>
      <c r="H55" s="6" t="s">
        <v>93</v>
      </c>
      <c r="I55" s="6">
        <v>0</v>
      </c>
      <c r="J55" s="6">
        <v>4</v>
      </c>
      <c r="K55" s="6">
        <v>0</v>
      </c>
      <c r="L55" s="6" t="s">
        <v>27</v>
      </c>
      <c r="M55" s="6" t="s">
        <v>27</v>
      </c>
      <c r="N55" s="6" t="s">
        <v>27</v>
      </c>
      <c r="O55" s="6" t="s">
        <v>27</v>
      </c>
      <c r="P55" s="9" t="s">
        <v>16</v>
      </c>
      <c r="Q55" s="11" t="s">
        <v>57</v>
      </c>
      <c r="R55" s="12" t="s">
        <v>94</v>
      </c>
      <c r="S55" s="6">
        <v>8</v>
      </c>
      <c r="T55" s="14" t="s">
        <v>22</v>
      </c>
    </row>
    <row r="56" spans="1:20" x14ac:dyDescent="0.3">
      <c r="A56" s="9">
        <v>801</v>
      </c>
      <c r="B56" s="15">
        <v>18112022</v>
      </c>
      <c r="C56" s="16" t="s">
        <v>95</v>
      </c>
      <c r="D56" s="15">
        <v>18112022</v>
      </c>
      <c r="E56" s="9" t="s">
        <v>17</v>
      </c>
      <c r="F56" s="16" t="s">
        <v>95</v>
      </c>
      <c r="G56" s="6" t="s">
        <v>24</v>
      </c>
      <c r="H56" s="6" t="s">
        <v>100</v>
      </c>
      <c r="I56" s="6">
        <v>0</v>
      </c>
      <c r="J56" s="6">
        <v>8</v>
      </c>
      <c r="K56" s="6">
        <v>0</v>
      </c>
      <c r="L56" s="6" t="s">
        <v>27</v>
      </c>
      <c r="M56" s="6" t="s">
        <v>27</v>
      </c>
      <c r="N56" s="6" t="s">
        <v>27</v>
      </c>
      <c r="O56" s="6" t="s">
        <v>27</v>
      </c>
      <c r="P56" s="9" t="s">
        <v>16</v>
      </c>
      <c r="Q56" s="11" t="s">
        <v>57</v>
      </c>
      <c r="R56" s="12" t="s">
        <v>96</v>
      </c>
      <c r="S56" s="6">
        <v>8</v>
      </c>
      <c r="T56" s="14" t="s">
        <v>22</v>
      </c>
    </row>
    <row r="57" spans="1:20" x14ac:dyDescent="0.3">
      <c r="A57" s="9">
        <v>801</v>
      </c>
      <c r="B57" s="15">
        <v>18112022</v>
      </c>
      <c r="C57" s="16" t="s">
        <v>95</v>
      </c>
      <c r="D57" s="15">
        <v>18112022</v>
      </c>
      <c r="E57" s="9" t="s">
        <v>17</v>
      </c>
      <c r="F57" s="16" t="s">
        <v>95</v>
      </c>
      <c r="G57" s="6" t="s">
        <v>24</v>
      </c>
      <c r="H57" s="6" t="s">
        <v>97</v>
      </c>
      <c r="I57" s="6">
        <v>0</v>
      </c>
      <c r="J57" s="6">
        <v>2</v>
      </c>
      <c r="K57" s="6">
        <v>0</v>
      </c>
      <c r="L57" s="6" t="s">
        <v>27</v>
      </c>
      <c r="M57" s="6" t="s">
        <v>27</v>
      </c>
      <c r="N57" s="6" t="s">
        <v>27</v>
      </c>
      <c r="O57" s="6" t="s">
        <v>27</v>
      </c>
      <c r="P57" s="9" t="s">
        <v>16</v>
      </c>
      <c r="Q57" s="11" t="s">
        <v>57</v>
      </c>
      <c r="R57" s="12" t="s">
        <v>98</v>
      </c>
      <c r="S57" s="6">
        <v>8</v>
      </c>
      <c r="T57" s="14" t="s">
        <v>22</v>
      </c>
    </row>
    <row r="58" spans="1:20" x14ac:dyDescent="0.3">
      <c r="A58" s="9">
        <v>801</v>
      </c>
      <c r="B58" s="15">
        <v>21112022</v>
      </c>
      <c r="C58" s="16" t="s">
        <v>99</v>
      </c>
      <c r="D58" s="15">
        <v>21112022</v>
      </c>
      <c r="E58" s="9" t="s">
        <v>17</v>
      </c>
      <c r="F58" s="16" t="s">
        <v>99</v>
      </c>
      <c r="G58" s="6" t="s">
        <v>24</v>
      </c>
      <c r="H58" s="6" t="s">
        <v>101</v>
      </c>
      <c r="I58" s="6">
        <v>0</v>
      </c>
      <c r="J58" s="6">
        <f>1629+200+414</f>
        <v>2243</v>
      </c>
      <c r="K58" s="6">
        <v>0</v>
      </c>
      <c r="L58" s="6" t="s">
        <v>27</v>
      </c>
      <c r="M58" s="6" t="s">
        <v>27</v>
      </c>
      <c r="N58" s="6" t="s">
        <v>27</v>
      </c>
      <c r="O58" s="6" t="s">
        <v>27</v>
      </c>
      <c r="P58" s="9" t="s">
        <v>16</v>
      </c>
      <c r="Q58" s="11" t="s">
        <v>57</v>
      </c>
      <c r="R58" s="12" t="s">
        <v>96</v>
      </c>
      <c r="S58" s="6">
        <v>8</v>
      </c>
      <c r="T58" s="14" t="s">
        <v>22</v>
      </c>
    </row>
    <row r="59" spans="1:20" x14ac:dyDescent="0.3">
      <c r="A59" s="9">
        <v>801</v>
      </c>
      <c r="B59" s="15">
        <v>21112022</v>
      </c>
      <c r="C59" s="16" t="s">
        <v>99</v>
      </c>
      <c r="D59" s="15">
        <v>21112022</v>
      </c>
      <c r="E59" s="9" t="s">
        <v>17</v>
      </c>
      <c r="F59" s="16" t="s">
        <v>99</v>
      </c>
      <c r="G59" s="6" t="s">
        <v>24</v>
      </c>
      <c r="H59" s="6" t="s">
        <v>102</v>
      </c>
      <c r="I59" s="6">
        <v>0</v>
      </c>
      <c r="J59" s="6">
        <v>425</v>
      </c>
      <c r="K59" s="6">
        <v>0</v>
      </c>
      <c r="L59" s="6" t="s">
        <v>27</v>
      </c>
      <c r="M59" s="6" t="s">
        <v>27</v>
      </c>
      <c r="N59" s="6" t="s">
        <v>27</v>
      </c>
      <c r="O59" s="6" t="s">
        <v>27</v>
      </c>
      <c r="P59" s="9" t="s">
        <v>16</v>
      </c>
      <c r="Q59" s="11" t="s">
        <v>57</v>
      </c>
      <c r="R59" s="12" t="s">
        <v>104</v>
      </c>
      <c r="S59" s="6">
        <v>8</v>
      </c>
      <c r="T59" s="14" t="s">
        <v>22</v>
      </c>
    </row>
    <row r="60" spans="1:20" x14ac:dyDescent="0.3">
      <c r="A60" s="9">
        <v>801</v>
      </c>
      <c r="B60" s="15">
        <v>21112022</v>
      </c>
      <c r="C60" s="16" t="s">
        <v>99</v>
      </c>
      <c r="D60" s="15">
        <v>21112022</v>
      </c>
      <c r="E60" s="9" t="s">
        <v>17</v>
      </c>
      <c r="F60" s="16" t="s">
        <v>99</v>
      </c>
      <c r="G60" s="6" t="s">
        <v>24</v>
      </c>
      <c r="H60" s="6" t="s">
        <v>103</v>
      </c>
      <c r="I60" s="6">
        <v>0</v>
      </c>
      <c r="J60" s="6">
        <f>240+1468</f>
        <v>1708</v>
      </c>
      <c r="K60" s="6">
        <v>0</v>
      </c>
      <c r="L60" s="6" t="s">
        <v>27</v>
      </c>
      <c r="M60" s="6" t="s">
        <v>27</v>
      </c>
      <c r="N60" s="6" t="s">
        <v>27</v>
      </c>
      <c r="O60" s="6" t="s">
        <v>27</v>
      </c>
      <c r="P60" s="9" t="s">
        <v>16</v>
      </c>
      <c r="Q60" s="11" t="s">
        <v>57</v>
      </c>
      <c r="R60" s="12" t="s">
        <v>98</v>
      </c>
      <c r="S60" s="6">
        <v>8</v>
      </c>
      <c r="T60" s="14" t="s">
        <v>22</v>
      </c>
    </row>
    <row r="61" spans="1:20" x14ac:dyDescent="0.3">
      <c r="A61" s="9">
        <v>801</v>
      </c>
      <c r="B61" s="15">
        <v>18112022</v>
      </c>
      <c r="C61" s="16" t="s">
        <v>105</v>
      </c>
      <c r="D61" s="15">
        <v>18112022</v>
      </c>
      <c r="E61" s="9" t="s">
        <v>17</v>
      </c>
      <c r="F61" s="16" t="s">
        <v>105</v>
      </c>
      <c r="G61" s="6" t="s">
        <v>24</v>
      </c>
      <c r="H61" s="6" t="s">
        <v>106</v>
      </c>
      <c r="I61" s="6">
        <v>0</v>
      </c>
      <c r="J61" s="6">
        <v>4</v>
      </c>
      <c r="K61" s="6">
        <v>0</v>
      </c>
      <c r="L61" s="6" t="s">
        <v>27</v>
      </c>
      <c r="M61" s="6" t="s">
        <v>27</v>
      </c>
      <c r="N61" s="6" t="s">
        <v>27</v>
      </c>
      <c r="O61" s="6" t="s">
        <v>27</v>
      </c>
      <c r="P61" s="9" t="s">
        <v>16</v>
      </c>
      <c r="Q61" s="11" t="s">
        <v>57</v>
      </c>
      <c r="R61" s="12" t="s">
        <v>107</v>
      </c>
      <c r="S61" s="6">
        <v>8</v>
      </c>
      <c r="T61" s="14" t="s">
        <v>22</v>
      </c>
    </row>
    <row r="62" spans="1:20" x14ac:dyDescent="0.3">
      <c r="A62" s="9">
        <v>801</v>
      </c>
      <c r="B62" s="15">
        <v>18112022</v>
      </c>
      <c r="C62" s="16" t="s">
        <v>105</v>
      </c>
      <c r="D62" s="15">
        <v>18112022</v>
      </c>
      <c r="E62" s="9" t="s">
        <v>17</v>
      </c>
      <c r="F62" s="16" t="s">
        <v>105</v>
      </c>
      <c r="G62" s="6" t="s">
        <v>24</v>
      </c>
      <c r="H62" s="6" t="s">
        <v>101</v>
      </c>
      <c r="I62" s="6">
        <v>0</v>
      </c>
      <c r="J62" s="6">
        <v>33</v>
      </c>
      <c r="K62" s="6">
        <v>0</v>
      </c>
      <c r="L62" s="6" t="s">
        <v>27</v>
      </c>
      <c r="M62" s="6" t="s">
        <v>27</v>
      </c>
      <c r="N62" s="6" t="s">
        <v>27</v>
      </c>
      <c r="O62" s="6" t="s">
        <v>27</v>
      </c>
      <c r="P62" s="9" t="s">
        <v>16</v>
      </c>
      <c r="Q62" s="11" t="s">
        <v>57</v>
      </c>
      <c r="R62" s="12" t="s">
        <v>96</v>
      </c>
      <c r="S62" s="6">
        <v>8</v>
      </c>
      <c r="T62" s="14" t="s">
        <v>22</v>
      </c>
    </row>
    <row r="63" spans="1:20" x14ac:dyDescent="0.3">
      <c r="A63" s="9">
        <v>801</v>
      </c>
      <c r="B63" s="15">
        <v>18112022</v>
      </c>
      <c r="C63" s="16" t="s">
        <v>105</v>
      </c>
      <c r="D63" s="15">
        <v>18112022</v>
      </c>
      <c r="E63" s="9" t="s">
        <v>17</v>
      </c>
      <c r="F63" s="16" t="s">
        <v>105</v>
      </c>
      <c r="G63" s="6" t="s">
        <v>24</v>
      </c>
      <c r="H63" s="6" t="s">
        <v>114</v>
      </c>
      <c r="I63" s="6">
        <v>0</v>
      </c>
      <c r="J63" s="6">
        <v>10</v>
      </c>
      <c r="K63" s="6">
        <v>0</v>
      </c>
      <c r="L63" s="6" t="s">
        <v>27</v>
      </c>
      <c r="M63" s="6" t="s">
        <v>27</v>
      </c>
      <c r="N63" s="6" t="s">
        <v>27</v>
      </c>
      <c r="O63" s="6" t="s">
        <v>27</v>
      </c>
      <c r="P63" s="9" t="s">
        <v>16</v>
      </c>
      <c r="Q63" s="11" t="s">
        <v>57</v>
      </c>
      <c r="R63" s="12" t="s">
        <v>108</v>
      </c>
      <c r="S63" s="6">
        <v>8</v>
      </c>
      <c r="T63" s="14" t="s">
        <v>22</v>
      </c>
    </row>
    <row r="64" spans="1:20" x14ac:dyDescent="0.3">
      <c r="A64" s="9">
        <v>801</v>
      </c>
      <c r="B64" s="15">
        <v>18112022</v>
      </c>
      <c r="C64" s="16" t="s">
        <v>105</v>
      </c>
      <c r="D64" s="15">
        <v>18112022</v>
      </c>
      <c r="E64" s="9" t="s">
        <v>17</v>
      </c>
      <c r="F64" s="16" t="s">
        <v>105</v>
      </c>
      <c r="G64" s="6" t="s">
        <v>24</v>
      </c>
      <c r="H64" s="6" t="s">
        <v>103</v>
      </c>
      <c r="I64" s="6">
        <v>0</v>
      </c>
      <c r="J64" s="6">
        <v>19</v>
      </c>
      <c r="K64" s="6">
        <v>0</v>
      </c>
      <c r="L64" s="6" t="s">
        <v>27</v>
      </c>
      <c r="M64" s="6" t="s">
        <v>27</v>
      </c>
      <c r="N64" s="6" t="s">
        <v>27</v>
      </c>
      <c r="O64" s="6" t="s">
        <v>27</v>
      </c>
      <c r="P64" s="9" t="s">
        <v>16</v>
      </c>
      <c r="Q64" s="11" t="s">
        <v>57</v>
      </c>
      <c r="R64" s="12" t="s">
        <v>98</v>
      </c>
      <c r="S64" s="6">
        <v>8</v>
      </c>
      <c r="T64" s="14" t="s">
        <v>22</v>
      </c>
    </row>
    <row r="65" spans="1:21" x14ac:dyDescent="0.3">
      <c r="A65" s="9">
        <v>801</v>
      </c>
      <c r="B65" s="15">
        <v>18112022</v>
      </c>
      <c r="C65" s="16" t="s">
        <v>105</v>
      </c>
      <c r="D65" s="15">
        <v>18112022</v>
      </c>
      <c r="E65" s="9" t="s">
        <v>17</v>
      </c>
      <c r="F65" s="16" t="s">
        <v>105</v>
      </c>
      <c r="G65" s="6" t="s">
        <v>24</v>
      </c>
      <c r="H65" s="6" t="s">
        <v>100</v>
      </c>
      <c r="I65" s="6">
        <v>0</v>
      </c>
      <c r="J65" s="6">
        <v>28</v>
      </c>
      <c r="K65" s="6">
        <v>0</v>
      </c>
      <c r="L65" s="6" t="s">
        <v>27</v>
      </c>
      <c r="M65" s="6" t="s">
        <v>27</v>
      </c>
      <c r="N65" s="6" t="s">
        <v>27</v>
      </c>
      <c r="O65" s="6" t="s">
        <v>27</v>
      </c>
      <c r="P65" s="9" t="s">
        <v>16</v>
      </c>
      <c r="Q65" s="11" t="s">
        <v>57</v>
      </c>
      <c r="R65" s="12" t="s">
        <v>96</v>
      </c>
      <c r="S65" s="6">
        <v>8</v>
      </c>
      <c r="T65" s="14" t="s">
        <v>22</v>
      </c>
    </row>
    <row r="66" spans="1:21" x14ac:dyDescent="0.3">
      <c r="A66" s="9">
        <v>801</v>
      </c>
      <c r="B66" s="15">
        <v>18112022</v>
      </c>
      <c r="C66" s="16" t="s">
        <v>105</v>
      </c>
      <c r="D66" s="15">
        <v>18112022</v>
      </c>
      <c r="E66" s="9" t="s">
        <v>17</v>
      </c>
      <c r="F66" s="16" t="s">
        <v>105</v>
      </c>
      <c r="G66" s="6" t="s">
        <v>24</v>
      </c>
      <c r="H66" s="6" t="s">
        <v>97</v>
      </c>
      <c r="I66" s="6">
        <v>0</v>
      </c>
      <c r="J66" s="6">
        <v>1</v>
      </c>
      <c r="K66" s="6">
        <v>0</v>
      </c>
      <c r="L66" s="6" t="s">
        <v>27</v>
      </c>
      <c r="M66" s="6" t="s">
        <v>27</v>
      </c>
      <c r="N66" s="6" t="s">
        <v>27</v>
      </c>
      <c r="O66" s="6" t="s">
        <v>27</v>
      </c>
      <c r="P66" s="9" t="s">
        <v>16</v>
      </c>
      <c r="Q66" s="11" t="s">
        <v>57</v>
      </c>
      <c r="R66" s="12" t="s">
        <v>98</v>
      </c>
      <c r="S66" s="6">
        <v>8</v>
      </c>
      <c r="T66" s="14" t="s">
        <v>22</v>
      </c>
    </row>
    <row r="67" spans="1:21" x14ac:dyDescent="0.3">
      <c r="A67" s="9">
        <v>801</v>
      </c>
      <c r="B67" s="15">
        <v>16112022</v>
      </c>
      <c r="C67" s="16" t="s">
        <v>109</v>
      </c>
      <c r="D67" s="15">
        <v>16112022</v>
      </c>
      <c r="E67" s="9" t="s">
        <v>17</v>
      </c>
      <c r="F67" s="16" t="s">
        <v>109</v>
      </c>
      <c r="G67" s="6" t="s">
        <v>24</v>
      </c>
      <c r="H67" s="6" t="s">
        <v>110</v>
      </c>
      <c r="I67" s="6">
        <v>0</v>
      </c>
      <c r="J67" s="6">
        <v>466</v>
      </c>
      <c r="K67" s="6">
        <v>0</v>
      </c>
      <c r="L67" s="6" t="s">
        <v>27</v>
      </c>
      <c r="M67" s="6" t="s">
        <v>27</v>
      </c>
      <c r="N67" s="6" t="s">
        <v>27</v>
      </c>
      <c r="O67" s="6" t="s">
        <v>27</v>
      </c>
      <c r="P67" s="9" t="s">
        <v>16</v>
      </c>
      <c r="Q67" s="11" t="s">
        <v>57</v>
      </c>
      <c r="R67" s="12" t="s">
        <v>111</v>
      </c>
      <c r="S67" s="6">
        <v>8</v>
      </c>
      <c r="T67" s="14" t="s">
        <v>22</v>
      </c>
    </row>
    <row r="68" spans="1:21" x14ac:dyDescent="0.3">
      <c r="A68" s="9">
        <v>801</v>
      </c>
      <c r="B68" s="15">
        <v>16112022</v>
      </c>
      <c r="C68" s="16" t="s">
        <v>109</v>
      </c>
      <c r="D68" s="15">
        <v>16112022</v>
      </c>
      <c r="E68" s="9" t="s">
        <v>17</v>
      </c>
      <c r="F68" s="16" t="s">
        <v>109</v>
      </c>
      <c r="G68" s="6" t="s">
        <v>24</v>
      </c>
      <c r="H68" s="6" t="s">
        <v>114</v>
      </c>
      <c r="I68" s="6">
        <v>0</v>
      </c>
      <c r="J68" s="6">
        <v>1020</v>
      </c>
      <c r="K68" s="6">
        <v>0</v>
      </c>
      <c r="L68" s="6" t="s">
        <v>27</v>
      </c>
      <c r="M68" s="6" t="s">
        <v>27</v>
      </c>
      <c r="N68" s="6" t="s">
        <v>27</v>
      </c>
      <c r="O68" s="6" t="s">
        <v>27</v>
      </c>
      <c r="P68" s="9" t="s">
        <v>16</v>
      </c>
      <c r="Q68" s="11" t="s">
        <v>57</v>
      </c>
      <c r="R68" s="12" t="s">
        <v>108</v>
      </c>
      <c r="S68" s="6">
        <v>8</v>
      </c>
      <c r="T68" s="14" t="s">
        <v>22</v>
      </c>
    </row>
    <row r="69" spans="1:21" x14ac:dyDescent="0.3">
      <c r="A69" s="9">
        <v>801</v>
      </c>
      <c r="B69" s="15">
        <v>16112022</v>
      </c>
      <c r="C69" s="16" t="s">
        <v>109</v>
      </c>
      <c r="D69" s="15">
        <v>16112022</v>
      </c>
      <c r="E69" s="9" t="s">
        <v>17</v>
      </c>
      <c r="F69" s="16" t="s">
        <v>109</v>
      </c>
      <c r="G69" s="6" t="s">
        <v>24</v>
      </c>
      <c r="H69" s="6" t="s">
        <v>101</v>
      </c>
      <c r="I69" s="6">
        <v>0</v>
      </c>
      <c r="J69" s="6">
        <v>250</v>
      </c>
      <c r="K69" s="6">
        <v>0</v>
      </c>
      <c r="L69" s="6" t="s">
        <v>27</v>
      </c>
      <c r="M69" s="6" t="s">
        <v>27</v>
      </c>
      <c r="N69" s="6" t="s">
        <v>27</v>
      </c>
      <c r="O69" s="6" t="s">
        <v>27</v>
      </c>
      <c r="P69" s="9" t="s">
        <v>16</v>
      </c>
      <c r="Q69" s="11" t="s">
        <v>57</v>
      </c>
      <c r="R69" s="12" t="s">
        <v>96</v>
      </c>
      <c r="S69" s="6">
        <v>8</v>
      </c>
      <c r="T69" s="14" t="s">
        <v>22</v>
      </c>
    </row>
    <row r="70" spans="1:21" x14ac:dyDescent="0.3">
      <c r="A70" s="9">
        <v>801</v>
      </c>
      <c r="B70" s="15">
        <v>16112022</v>
      </c>
      <c r="C70" s="16" t="s">
        <v>109</v>
      </c>
      <c r="D70" s="15">
        <v>16112022</v>
      </c>
      <c r="E70" s="9" t="s">
        <v>17</v>
      </c>
      <c r="F70" s="16" t="s">
        <v>109</v>
      </c>
      <c r="G70" s="6" t="s">
        <v>24</v>
      </c>
      <c r="H70" s="6" t="s">
        <v>103</v>
      </c>
      <c r="I70" s="6">
        <v>0</v>
      </c>
      <c r="J70" s="6">
        <v>229</v>
      </c>
      <c r="K70" s="6">
        <v>0</v>
      </c>
      <c r="L70" s="6" t="s">
        <v>27</v>
      </c>
      <c r="M70" s="6" t="s">
        <v>27</v>
      </c>
      <c r="N70" s="6" t="s">
        <v>27</v>
      </c>
      <c r="O70" s="6" t="s">
        <v>27</v>
      </c>
      <c r="P70" s="9" t="s">
        <v>16</v>
      </c>
      <c r="Q70" s="11" t="s">
        <v>57</v>
      </c>
      <c r="R70" s="12"/>
      <c r="S70" s="6">
        <v>8</v>
      </c>
      <c r="T70" s="14" t="s">
        <v>22</v>
      </c>
    </row>
    <row r="71" spans="1:21" x14ac:dyDescent="0.3">
      <c r="A71" s="9">
        <v>801</v>
      </c>
      <c r="B71" s="15">
        <v>23112022</v>
      </c>
      <c r="C71" s="16" t="s">
        <v>115</v>
      </c>
      <c r="D71" s="15">
        <f t="shared" ref="D71:D87" si="0">B71</f>
        <v>23112022</v>
      </c>
      <c r="E71" s="9" t="s">
        <v>17</v>
      </c>
      <c r="F71" s="16" t="str">
        <f t="shared" ref="F71:F87" si="1">C71</f>
        <v>COR2022000000435</v>
      </c>
      <c r="G71" s="6" t="s">
        <v>24</v>
      </c>
      <c r="H71" s="6" t="s">
        <v>97</v>
      </c>
      <c r="I71" s="6">
        <v>0</v>
      </c>
      <c r="J71" s="6">
        <v>15</v>
      </c>
      <c r="K71" s="6">
        <v>0</v>
      </c>
      <c r="L71" s="6">
        <v>0</v>
      </c>
      <c r="M71" s="6" t="s">
        <v>27</v>
      </c>
      <c r="N71" s="6" t="s">
        <v>27</v>
      </c>
      <c r="O71" s="6" t="s">
        <v>27</v>
      </c>
      <c r="P71" s="9" t="s">
        <v>16</v>
      </c>
      <c r="Q71" s="11" t="s">
        <v>57</v>
      </c>
      <c r="R71" s="12"/>
      <c r="S71" s="6">
        <v>8</v>
      </c>
      <c r="T71" s="17" t="s">
        <v>121</v>
      </c>
      <c r="U71" s="14" t="s">
        <v>22</v>
      </c>
    </row>
    <row r="72" spans="1:21" x14ac:dyDescent="0.3">
      <c r="A72" s="9">
        <v>801</v>
      </c>
      <c r="B72" s="15">
        <v>23112022</v>
      </c>
      <c r="C72" s="16" t="s">
        <v>115</v>
      </c>
      <c r="D72" s="15">
        <f t="shared" si="0"/>
        <v>23112022</v>
      </c>
      <c r="E72" s="9" t="s">
        <v>17</v>
      </c>
      <c r="F72" s="16" t="str">
        <f t="shared" si="1"/>
        <v>COR2022000000435</v>
      </c>
      <c r="G72" s="6" t="s">
        <v>24</v>
      </c>
      <c r="H72" s="6" t="s">
        <v>28</v>
      </c>
      <c r="I72" s="6">
        <v>0</v>
      </c>
      <c r="J72" s="6">
        <v>48</v>
      </c>
      <c r="K72" s="6">
        <v>0</v>
      </c>
      <c r="L72" s="6">
        <v>0</v>
      </c>
      <c r="M72" s="6" t="s">
        <v>27</v>
      </c>
      <c r="N72" s="6" t="s">
        <v>27</v>
      </c>
      <c r="O72" s="6" t="s">
        <v>27</v>
      </c>
      <c r="P72" s="9" t="s">
        <v>16</v>
      </c>
      <c r="Q72" s="11" t="s">
        <v>57</v>
      </c>
      <c r="R72" s="12"/>
      <c r="S72" s="6">
        <v>8</v>
      </c>
      <c r="T72" s="17" t="s">
        <v>121</v>
      </c>
      <c r="U72" s="14" t="s">
        <v>22</v>
      </c>
    </row>
    <row r="73" spans="1:21" x14ac:dyDescent="0.3">
      <c r="A73" s="9">
        <v>801</v>
      </c>
      <c r="B73" s="15">
        <v>23112022</v>
      </c>
      <c r="C73" s="16" t="s">
        <v>115</v>
      </c>
      <c r="D73" s="15">
        <f t="shared" si="0"/>
        <v>23112022</v>
      </c>
      <c r="E73" s="9" t="s">
        <v>17</v>
      </c>
      <c r="F73" s="16" t="str">
        <f t="shared" si="1"/>
        <v>COR2022000000435</v>
      </c>
      <c r="G73" s="6" t="s">
        <v>24</v>
      </c>
      <c r="H73" s="6" t="s">
        <v>114</v>
      </c>
      <c r="I73" s="6">
        <v>0</v>
      </c>
      <c r="J73" s="6">
        <v>25</v>
      </c>
      <c r="K73" s="6">
        <v>0</v>
      </c>
      <c r="L73" s="6">
        <v>0</v>
      </c>
      <c r="M73" s="6" t="s">
        <v>27</v>
      </c>
      <c r="N73" s="6" t="s">
        <v>27</v>
      </c>
      <c r="O73" s="6" t="s">
        <v>27</v>
      </c>
      <c r="P73" s="9" t="s">
        <v>16</v>
      </c>
      <c r="Q73" s="11" t="s">
        <v>57</v>
      </c>
      <c r="R73" s="12"/>
      <c r="S73" s="6">
        <v>8</v>
      </c>
      <c r="T73" s="17" t="s">
        <v>121</v>
      </c>
      <c r="U73" s="14" t="s">
        <v>22</v>
      </c>
    </row>
    <row r="74" spans="1:21" x14ac:dyDescent="0.3">
      <c r="A74" s="9">
        <v>801</v>
      </c>
      <c r="B74" s="15">
        <v>23112022</v>
      </c>
      <c r="C74" s="16" t="s">
        <v>115</v>
      </c>
      <c r="D74" s="15">
        <f t="shared" si="0"/>
        <v>23112022</v>
      </c>
      <c r="E74" s="9" t="s">
        <v>17</v>
      </c>
      <c r="F74" s="16" t="str">
        <f t="shared" si="1"/>
        <v>COR2022000000435</v>
      </c>
      <c r="G74" s="6" t="s">
        <v>24</v>
      </c>
      <c r="H74" s="6" t="s">
        <v>103</v>
      </c>
      <c r="I74" s="6">
        <v>0</v>
      </c>
      <c r="J74" s="6">
        <v>20</v>
      </c>
      <c r="K74" s="6">
        <v>0</v>
      </c>
      <c r="L74" s="6">
        <v>0</v>
      </c>
      <c r="M74" s="6" t="s">
        <v>27</v>
      </c>
      <c r="N74" s="6" t="s">
        <v>27</v>
      </c>
      <c r="O74" s="6" t="s">
        <v>27</v>
      </c>
      <c r="P74" s="9" t="s">
        <v>16</v>
      </c>
      <c r="Q74" s="11" t="s">
        <v>57</v>
      </c>
      <c r="R74" s="12"/>
      <c r="S74" s="6">
        <v>8</v>
      </c>
      <c r="T74" s="17" t="s">
        <v>121</v>
      </c>
      <c r="U74" s="14" t="s">
        <v>22</v>
      </c>
    </row>
    <row r="75" spans="1:21" x14ac:dyDescent="0.3">
      <c r="A75" s="9">
        <v>801</v>
      </c>
      <c r="B75" s="15">
        <v>23112022</v>
      </c>
      <c r="C75" s="16" t="s">
        <v>115</v>
      </c>
      <c r="D75" s="15">
        <f t="shared" si="0"/>
        <v>23112022</v>
      </c>
      <c r="E75" s="9" t="s">
        <v>17</v>
      </c>
      <c r="F75" s="16" t="str">
        <f t="shared" si="1"/>
        <v>COR2022000000435</v>
      </c>
      <c r="G75" s="6" t="s">
        <v>24</v>
      </c>
      <c r="H75" s="6" t="s">
        <v>116</v>
      </c>
      <c r="I75" s="6">
        <v>0</v>
      </c>
      <c r="J75" s="6">
        <v>14</v>
      </c>
      <c r="K75" s="6">
        <v>0</v>
      </c>
      <c r="L75" s="6">
        <v>0</v>
      </c>
      <c r="M75" s="6" t="s">
        <v>27</v>
      </c>
      <c r="N75" s="6" t="s">
        <v>27</v>
      </c>
      <c r="O75" s="6" t="s">
        <v>27</v>
      </c>
      <c r="P75" s="9" t="s">
        <v>16</v>
      </c>
      <c r="Q75" s="11" t="s">
        <v>57</v>
      </c>
      <c r="R75" s="12"/>
      <c r="S75" s="6">
        <v>8</v>
      </c>
      <c r="T75" s="17" t="s">
        <v>121</v>
      </c>
      <c r="U75" s="14" t="s">
        <v>22</v>
      </c>
    </row>
    <row r="76" spans="1:21" x14ac:dyDescent="0.3">
      <c r="A76" s="9">
        <v>801</v>
      </c>
      <c r="B76" s="15">
        <v>23112022</v>
      </c>
      <c r="C76" s="16" t="s">
        <v>115</v>
      </c>
      <c r="D76" s="15">
        <f t="shared" si="0"/>
        <v>23112022</v>
      </c>
      <c r="E76" s="9" t="s">
        <v>17</v>
      </c>
      <c r="F76" s="16" t="str">
        <f t="shared" si="1"/>
        <v>COR2022000000435</v>
      </c>
      <c r="G76" s="6" t="s">
        <v>24</v>
      </c>
      <c r="H76" s="6" t="s">
        <v>117</v>
      </c>
      <c r="I76" s="6">
        <v>0</v>
      </c>
      <c r="J76" s="6">
        <v>5</v>
      </c>
      <c r="K76" s="6">
        <v>0</v>
      </c>
      <c r="L76" s="6">
        <v>0</v>
      </c>
      <c r="M76" s="6" t="s">
        <v>27</v>
      </c>
      <c r="N76" s="6" t="s">
        <v>27</v>
      </c>
      <c r="O76" s="6" t="s">
        <v>27</v>
      </c>
      <c r="P76" s="9" t="s">
        <v>16</v>
      </c>
      <c r="Q76" s="11" t="s">
        <v>57</v>
      </c>
      <c r="R76" s="12"/>
      <c r="S76" s="6">
        <v>8</v>
      </c>
      <c r="T76" s="17" t="s">
        <v>121</v>
      </c>
      <c r="U76" s="14" t="s">
        <v>22</v>
      </c>
    </row>
    <row r="77" spans="1:21" x14ac:dyDescent="0.3">
      <c r="A77" s="9">
        <v>801</v>
      </c>
      <c r="B77" s="15">
        <v>23112022</v>
      </c>
      <c r="C77" s="16" t="s">
        <v>115</v>
      </c>
      <c r="D77" s="15">
        <f t="shared" si="0"/>
        <v>23112022</v>
      </c>
      <c r="E77" s="9" t="s">
        <v>17</v>
      </c>
      <c r="F77" s="16" t="str">
        <f t="shared" si="1"/>
        <v>COR2022000000435</v>
      </c>
      <c r="G77" s="6" t="s">
        <v>24</v>
      </c>
      <c r="H77" s="6" t="s">
        <v>118</v>
      </c>
      <c r="I77" s="6">
        <v>0</v>
      </c>
      <c r="J77" s="6">
        <v>24</v>
      </c>
      <c r="K77" s="6">
        <v>0</v>
      </c>
      <c r="L77" s="6">
        <v>0</v>
      </c>
      <c r="M77" s="6" t="s">
        <v>27</v>
      </c>
      <c r="N77" s="6" t="s">
        <v>27</v>
      </c>
      <c r="O77" s="6" t="s">
        <v>27</v>
      </c>
      <c r="P77" s="9" t="s">
        <v>16</v>
      </c>
      <c r="Q77" s="11" t="s">
        <v>57</v>
      </c>
      <c r="R77" s="12"/>
      <c r="S77" s="6">
        <v>8</v>
      </c>
      <c r="T77" s="17" t="s">
        <v>121</v>
      </c>
      <c r="U77" s="14" t="s">
        <v>22</v>
      </c>
    </row>
    <row r="78" spans="1:21" x14ac:dyDescent="0.3">
      <c r="A78" s="9">
        <v>801</v>
      </c>
      <c r="B78" s="15">
        <v>23112022</v>
      </c>
      <c r="C78" s="16" t="s">
        <v>115</v>
      </c>
      <c r="D78" s="15">
        <f t="shared" si="0"/>
        <v>23112022</v>
      </c>
      <c r="E78" s="9" t="s">
        <v>17</v>
      </c>
      <c r="F78" s="16" t="str">
        <f t="shared" si="1"/>
        <v>COR2022000000435</v>
      </c>
      <c r="G78" s="6" t="s">
        <v>24</v>
      </c>
      <c r="H78" s="6" t="s">
        <v>119</v>
      </c>
      <c r="I78" s="6">
        <v>0</v>
      </c>
      <c r="J78" s="6">
        <v>26</v>
      </c>
      <c r="K78" s="6">
        <v>0</v>
      </c>
      <c r="L78" s="6">
        <v>0</v>
      </c>
      <c r="M78" s="6" t="s">
        <v>27</v>
      </c>
      <c r="N78" s="6" t="s">
        <v>27</v>
      </c>
      <c r="O78" s="6" t="s">
        <v>27</v>
      </c>
      <c r="P78" s="9" t="s">
        <v>16</v>
      </c>
      <c r="Q78" s="11" t="s">
        <v>57</v>
      </c>
      <c r="R78" s="12"/>
      <c r="S78" s="6">
        <v>8</v>
      </c>
      <c r="T78" s="17" t="s">
        <v>121</v>
      </c>
      <c r="U78" s="14" t="s">
        <v>22</v>
      </c>
    </row>
    <row r="79" spans="1:21" x14ac:dyDescent="0.3">
      <c r="A79" s="9">
        <v>801</v>
      </c>
      <c r="B79" s="15">
        <v>22112022</v>
      </c>
      <c r="C79" s="16" t="s">
        <v>122</v>
      </c>
      <c r="D79" s="15">
        <f t="shared" si="0"/>
        <v>22112022</v>
      </c>
      <c r="E79" s="9" t="s">
        <v>17</v>
      </c>
      <c r="F79" s="16" t="str">
        <f t="shared" si="1"/>
        <v>COR2022000000433</v>
      </c>
      <c r="G79" s="6" t="s">
        <v>24</v>
      </c>
      <c r="H79" s="6" t="s">
        <v>106</v>
      </c>
      <c r="I79" s="6">
        <v>0</v>
      </c>
      <c r="J79" s="6">
        <v>180</v>
      </c>
      <c r="K79" s="6">
        <v>0</v>
      </c>
      <c r="L79" s="6">
        <v>0</v>
      </c>
      <c r="M79" s="6" t="s">
        <v>27</v>
      </c>
      <c r="N79" s="6" t="s">
        <v>27</v>
      </c>
      <c r="O79" s="6" t="s">
        <v>27</v>
      </c>
      <c r="P79" s="9" t="s">
        <v>16</v>
      </c>
      <c r="Q79" s="11" t="s">
        <v>57</v>
      </c>
      <c r="R79" s="12" t="s">
        <v>107</v>
      </c>
      <c r="S79" s="6">
        <v>8</v>
      </c>
      <c r="T79" s="17" t="s">
        <v>121</v>
      </c>
      <c r="U79" s="14" t="s">
        <v>22</v>
      </c>
    </row>
    <row r="80" spans="1:21" x14ac:dyDescent="0.3">
      <c r="A80" s="9">
        <v>801</v>
      </c>
      <c r="B80" s="15">
        <v>22112022</v>
      </c>
      <c r="C80" s="16" t="s">
        <v>122</v>
      </c>
      <c r="D80" s="15">
        <f t="shared" si="0"/>
        <v>22112022</v>
      </c>
      <c r="E80" s="9" t="s">
        <v>17</v>
      </c>
      <c r="F80" s="16" t="str">
        <f t="shared" si="1"/>
        <v>COR2022000000433</v>
      </c>
      <c r="G80" s="6" t="s">
        <v>24</v>
      </c>
      <c r="H80" s="6" t="s">
        <v>110</v>
      </c>
      <c r="I80" s="6">
        <v>0</v>
      </c>
      <c r="J80" s="6">
        <v>37</v>
      </c>
      <c r="K80" s="6">
        <v>0</v>
      </c>
      <c r="L80" s="6">
        <v>0</v>
      </c>
      <c r="M80" s="6" t="s">
        <v>27</v>
      </c>
      <c r="N80" s="6" t="s">
        <v>27</v>
      </c>
      <c r="O80" s="6" t="s">
        <v>27</v>
      </c>
      <c r="P80" s="9" t="s">
        <v>16</v>
      </c>
      <c r="Q80" s="11" t="s">
        <v>57</v>
      </c>
      <c r="R80" s="12" t="s">
        <v>111</v>
      </c>
      <c r="S80" s="6">
        <v>8</v>
      </c>
      <c r="T80" s="17" t="s">
        <v>121</v>
      </c>
      <c r="U80" s="14" t="s">
        <v>22</v>
      </c>
    </row>
    <row r="81" spans="1:21" x14ac:dyDescent="0.3">
      <c r="A81" s="9">
        <v>801</v>
      </c>
      <c r="B81" s="15">
        <v>22112022</v>
      </c>
      <c r="C81" s="16" t="s">
        <v>122</v>
      </c>
      <c r="D81" s="15">
        <f t="shared" si="0"/>
        <v>22112022</v>
      </c>
      <c r="E81" s="9" t="s">
        <v>17</v>
      </c>
      <c r="F81" s="16" t="str">
        <f t="shared" si="1"/>
        <v>COR2022000000433</v>
      </c>
      <c r="G81" s="6" t="s">
        <v>24</v>
      </c>
      <c r="H81" s="6" t="s">
        <v>59</v>
      </c>
      <c r="I81" s="6">
        <v>0</v>
      </c>
      <c r="J81" s="6">
        <v>70</v>
      </c>
      <c r="K81" s="6">
        <v>0</v>
      </c>
      <c r="L81" s="6">
        <v>0</v>
      </c>
      <c r="M81" s="6" t="s">
        <v>27</v>
      </c>
      <c r="N81" s="6" t="s">
        <v>27</v>
      </c>
      <c r="O81" s="6" t="s">
        <v>27</v>
      </c>
      <c r="P81" s="9" t="s">
        <v>16</v>
      </c>
      <c r="Q81" s="11" t="s">
        <v>57</v>
      </c>
      <c r="R81" s="12" t="s">
        <v>134</v>
      </c>
      <c r="S81" s="6">
        <v>8</v>
      </c>
      <c r="T81" s="17" t="s">
        <v>121</v>
      </c>
      <c r="U81" s="14" t="s">
        <v>22</v>
      </c>
    </row>
    <row r="82" spans="1:21" x14ac:dyDescent="0.3">
      <c r="A82" s="9">
        <v>801</v>
      </c>
      <c r="B82" s="15">
        <v>22112022</v>
      </c>
      <c r="C82" s="16" t="s">
        <v>122</v>
      </c>
      <c r="D82" s="15">
        <f t="shared" si="0"/>
        <v>22112022</v>
      </c>
      <c r="E82" s="9" t="s">
        <v>17</v>
      </c>
      <c r="F82" s="16" t="str">
        <f t="shared" si="1"/>
        <v>COR2022000000433</v>
      </c>
      <c r="G82" s="6" t="s">
        <v>24</v>
      </c>
      <c r="H82" s="6" t="s">
        <v>123</v>
      </c>
      <c r="I82" s="6">
        <v>0</v>
      </c>
      <c r="J82" s="6">
        <v>88</v>
      </c>
      <c r="K82" s="6">
        <v>0</v>
      </c>
      <c r="L82" s="6">
        <v>0</v>
      </c>
      <c r="M82" s="6" t="s">
        <v>27</v>
      </c>
      <c r="N82" s="6" t="s">
        <v>27</v>
      </c>
      <c r="O82" s="6" t="s">
        <v>27</v>
      </c>
      <c r="P82" s="9" t="s">
        <v>16</v>
      </c>
      <c r="Q82" s="11" t="s">
        <v>57</v>
      </c>
      <c r="R82" s="12" t="s">
        <v>135</v>
      </c>
      <c r="S82" s="6">
        <v>8</v>
      </c>
      <c r="T82" s="17" t="s">
        <v>121</v>
      </c>
      <c r="U82" s="14" t="s">
        <v>22</v>
      </c>
    </row>
    <row r="83" spans="1:21" x14ac:dyDescent="0.3">
      <c r="A83" s="9">
        <v>801</v>
      </c>
      <c r="B83" s="15">
        <v>22112022</v>
      </c>
      <c r="C83" s="16" t="s">
        <v>122</v>
      </c>
      <c r="D83" s="15">
        <f t="shared" si="0"/>
        <v>22112022</v>
      </c>
      <c r="E83" s="9" t="s">
        <v>17</v>
      </c>
      <c r="F83" s="16" t="str">
        <f t="shared" si="1"/>
        <v>COR2022000000433</v>
      </c>
      <c r="G83" s="6" t="s">
        <v>24</v>
      </c>
      <c r="H83" s="6" t="s">
        <v>102</v>
      </c>
      <c r="I83" s="6">
        <v>0</v>
      </c>
      <c r="J83" s="6">
        <v>63</v>
      </c>
      <c r="K83" s="6">
        <v>0</v>
      </c>
      <c r="L83" s="6">
        <v>0</v>
      </c>
      <c r="M83" s="6" t="s">
        <v>27</v>
      </c>
      <c r="N83" s="6" t="s">
        <v>27</v>
      </c>
      <c r="O83" s="6" t="s">
        <v>27</v>
      </c>
      <c r="P83" s="9" t="s">
        <v>16</v>
      </c>
      <c r="Q83" s="11" t="s">
        <v>57</v>
      </c>
      <c r="R83" s="12" t="s">
        <v>104</v>
      </c>
      <c r="S83" s="6">
        <v>8</v>
      </c>
      <c r="T83" s="17" t="s">
        <v>121</v>
      </c>
      <c r="U83" s="14" t="s">
        <v>22</v>
      </c>
    </row>
    <row r="84" spans="1:21" x14ac:dyDescent="0.3">
      <c r="A84" s="9">
        <v>801</v>
      </c>
      <c r="B84" s="15">
        <v>22112022</v>
      </c>
      <c r="C84" s="16" t="s">
        <v>122</v>
      </c>
      <c r="D84" s="15">
        <f t="shared" si="0"/>
        <v>22112022</v>
      </c>
      <c r="E84" s="9" t="s">
        <v>17</v>
      </c>
      <c r="F84" s="16" t="str">
        <f t="shared" si="1"/>
        <v>COR2022000000433</v>
      </c>
      <c r="G84" s="6" t="s">
        <v>24</v>
      </c>
      <c r="H84" s="6" t="s">
        <v>124</v>
      </c>
      <c r="I84" s="6">
        <v>0</v>
      </c>
      <c r="J84" s="6">
        <v>133</v>
      </c>
      <c r="K84" s="6">
        <v>0</v>
      </c>
      <c r="L84" s="6">
        <v>0</v>
      </c>
      <c r="M84" s="6" t="s">
        <v>27</v>
      </c>
      <c r="N84" s="6" t="s">
        <v>27</v>
      </c>
      <c r="O84" s="6" t="s">
        <v>27</v>
      </c>
      <c r="P84" s="9" t="s">
        <v>16</v>
      </c>
      <c r="Q84" s="11" t="s">
        <v>57</v>
      </c>
      <c r="R84" s="12" t="s">
        <v>136</v>
      </c>
      <c r="S84" s="6">
        <v>8</v>
      </c>
      <c r="T84" s="17" t="s">
        <v>121</v>
      </c>
      <c r="U84" s="14" t="s">
        <v>22</v>
      </c>
    </row>
    <row r="85" spans="1:21" x14ac:dyDescent="0.3">
      <c r="A85" s="9">
        <v>801</v>
      </c>
      <c r="B85" s="15">
        <v>22112022</v>
      </c>
      <c r="C85" s="16" t="s">
        <v>122</v>
      </c>
      <c r="D85" s="15">
        <f t="shared" si="0"/>
        <v>22112022</v>
      </c>
      <c r="E85" s="9" t="s">
        <v>17</v>
      </c>
      <c r="F85" s="16" t="str">
        <f t="shared" si="1"/>
        <v>COR2022000000433</v>
      </c>
      <c r="G85" s="6" t="s">
        <v>24</v>
      </c>
      <c r="H85" s="6" t="s">
        <v>133</v>
      </c>
      <c r="I85" s="6">
        <v>0</v>
      </c>
      <c r="J85" s="6">
        <v>108</v>
      </c>
      <c r="K85" s="6">
        <v>0</v>
      </c>
      <c r="L85" s="6">
        <v>0</v>
      </c>
      <c r="M85" s="6" t="s">
        <v>27</v>
      </c>
      <c r="N85" s="6" t="s">
        <v>27</v>
      </c>
      <c r="O85" s="6" t="s">
        <v>27</v>
      </c>
      <c r="P85" s="9" t="s">
        <v>16</v>
      </c>
      <c r="Q85" s="11" t="s">
        <v>57</v>
      </c>
      <c r="R85" s="12" t="s">
        <v>108</v>
      </c>
      <c r="S85" s="6">
        <v>8</v>
      </c>
      <c r="T85" s="17" t="s">
        <v>121</v>
      </c>
      <c r="U85" s="14" t="s">
        <v>22</v>
      </c>
    </row>
    <row r="86" spans="1:21" x14ac:dyDescent="0.3">
      <c r="A86" s="9">
        <v>801</v>
      </c>
      <c r="B86" s="15">
        <v>22112022</v>
      </c>
      <c r="C86" s="16" t="s">
        <v>122</v>
      </c>
      <c r="D86" s="15">
        <f t="shared" si="0"/>
        <v>22112022</v>
      </c>
      <c r="E86" s="9" t="s">
        <v>17</v>
      </c>
      <c r="F86" s="16" t="str">
        <f t="shared" si="1"/>
        <v>COR2022000000433</v>
      </c>
      <c r="G86" s="6" t="s">
        <v>24</v>
      </c>
      <c r="H86" s="6" t="s">
        <v>125</v>
      </c>
      <c r="I86" s="6">
        <v>0</v>
      </c>
      <c r="J86" s="6">
        <v>142</v>
      </c>
      <c r="K86" s="6">
        <v>0</v>
      </c>
      <c r="L86" s="6">
        <v>0</v>
      </c>
      <c r="M86" s="6" t="s">
        <v>27</v>
      </c>
      <c r="N86" s="6" t="s">
        <v>27</v>
      </c>
      <c r="O86" s="6" t="s">
        <v>27</v>
      </c>
      <c r="P86" s="9" t="s">
        <v>16</v>
      </c>
      <c r="Q86" s="11" t="s">
        <v>57</v>
      </c>
      <c r="R86" s="12" t="s">
        <v>137</v>
      </c>
      <c r="S86" s="6">
        <v>8</v>
      </c>
      <c r="T86" s="17" t="s">
        <v>121</v>
      </c>
      <c r="U86" s="14" t="s">
        <v>22</v>
      </c>
    </row>
    <row r="87" spans="1:21" ht="15.6" customHeight="1" x14ac:dyDescent="0.3">
      <c r="A87" s="9">
        <v>801</v>
      </c>
      <c r="B87" s="15">
        <v>22112022</v>
      </c>
      <c r="C87" s="16" t="s">
        <v>122</v>
      </c>
      <c r="D87" s="15">
        <f t="shared" si="0"/>
        <v>22112022</v>
      </c>
      <c r="E87" s="9" t="s">
        <v>17</v>
      </c>
      <c r="F87" s="16" t="str">
        <f t="shared" si="1"/>
        <v>COR2022000000433</v>
      </c>
      <c r="G87" s="6" t="s">
        <v>24</v>
      </c>
      <c r="H87" s="6" t="s">
        <v>126</v>
      </c>
      <c r="I87" s="6">
        <v>0</v>
      </c>
      <c r="J87" s="6">
        <v>11</v>
      </c>
      <c r="K87" s="6">
        <v>0</v>
      </c>
      <c r="L87" s="6">
        <v>0</v>
      </c>
      <c r="M87" s="6" t="s">
        <v>27</v>
      </c>
      <c r="N87" s="6" t="s">
        <v>27</v>
      </c>
      <c r="O87" s="6" t="s">
        <v>27</v>
      </c>
      <c r="P87" s="9" t="s">
        <v>16</v>
      </c>
      <c r="Q87" s="11" t="s">
        <v>57</v>
      </c>
      <c r="R87" s="12" t="s">
        <v>138</v>
      </c>
      <c r="S87" s="6">
        <v>8</v>
      </c>
      <c r="T87" s="17" t="s">
        <v>121</v>
      </c>
      <c r="U87" s="14" t="s">
        <v>22</v>
      </c>
    </row>
    <row r="88" spans="1:21" x14ac:dyDescent="0.3">
      <c r="A88" s="9">
        <v>801</v>
      </c>
      <c r="B88" s="15">
        <v>22112022</v>
      </c>
      <c r="C88" s="16" t="s">
        <v>122</v>
      </c>
      <c r="D88" s="15">
        <f t="shared" ref="D88:D94" si="2">B88</f>
        <v>22112022</v>
      </c>
      <c r="E88" s="9" t="s">
        <v>17</v>
      </c>
      <c r="F88" s="16" t="str">
        <f t="shared" ref="F88:F94" si="3">C88</f>
        <v>COR2022000000433</v>
      </c>
      <c r="G88" s="6" t="s">
        <v>24</v>
      </c>
      <c r="H88" s="6" t="s">
        <v>127</v>
      </c>
      <c r="I88" s="6">
        <v>0</v>
      </c>
      <c r="J88" s="6">
        <v>150</v>
      </c>
      <c r="K88" s="6">
        <v>0</v>
      </c>
      <c r="L88" s="6">
        <v>0</v>
      </c>
      <c r="M88" s="6" t="s">
        <v>27</v>
      </c>
      <c r="N88" s="6" t="s">
        <v>27</v>
      </c>
      <c r="O88" s="6" t="s">
        <v>27</v>
      </c>
      <c r="P88" s="9" t="s">
        <v>16</v>
      </c>
      <c r="Q88" s="11" t="s">
        <v>57</v>
      </c>
      <c r="R88" s="12" t="s">
        <v>136</v>
      </c>
      <c r="S88" s="6">
        <v>8</v>
      </c>
      <c r="T88" s="17" t="s">
        <v>121</v>
      </c>
      <c r="U88" s="14" t="s">
        <v>22</v>
      </c>
    </row>
    <row r="89" spans="1:21" x14ac:dyDescent="0.3">
      <c r="A89" s="9">
        <v>801</v>
      </c>
      <c r="B89" s="15">
        <v>22112022</v>
      </c>
      <c r="C89" s="16" t="s">
        <v>122</v>
      </c>
      <c r="D89" s="15">
        <f t="shared" si="2"/>
        <v>22112022</v>
      </c>
      <c r="E89" s="9" t="s">
        <v>17</v>
      </c>
      <c r="F89" s="16" t="str">
        <f t="shared" si="3"/>
        <v>COR2022000000433</v>
      </c>
      <c r="G89" s="6" t="s">
        <v>24</v>
      </c>
      <c r="H89" s="6" t="s">
        <v>128</v>
      </c>
      <c r="I89" s="6">
        <v>0</v>
      </c>
      <c r="J89" s="6">
        <v>50</v>
      </c>
      <c r="K89" s="6">
        <v>0</v>
      </c>
      <c r="L89" s="6">
        <v>0</v>
      </c>
      <c r="M89" s="6" t="s">
        <v>27</v>
      </c>
      <c r="N89" s="6" t="s">
        <v>27</v>
      </c>
      <c r="O89" s="6" t="s">
        <v>27</v>
      </c>
      <c r="P89" s="9" t="s">
        <v>16</v>
      </c>
      <c r="Q89" s="11" t="s">
        <v>57</v>
      </c>
      <c r="R89" s="12" t="s">
        <v>111</v>
      </c>
      <c r="S89" s="6">
        <v>8</v>
      </c>
      <c r="T89" s="17" t="s">
        <v>121</v>
      </c>
      <c r="U89" s="14" t="s">
        <v>22</v>
      </c>
    </row>
    <row r="90" spans="1:21" x14ac:dyDescent="0.3">
      <c r="A90" s="9">
        <v>801</v>
      </c>
      <c r="B90" s="15">
        <v>22112022</v>
      </c>
      <c r="C90" s="16" t="s">
        <v>122</v>
      </c>
      <c r="D90" s="15">
        <f t="shared" si="2"/>
        <v>22112022</v>
      </c>
      <c r="E90" s="9" t="s">
        <v>17</v>
      </c>
      <c r="F90" s="16" t="str">
        <f t="shared" si="3"/>
        <v>COR2022000000433</v>
      </c>
      <c r="G90" s="6" t="s">
        <v>24</v>
      </c>
      <c r="H90" s="6" t="s">
        <v>129</v>
      </c>
      <c r="I90" s="6">
        <v>0</v>
      </c>
      <c r="J90" s="6">
        <v>33</v>
      </c>
      <c r="K90" s="6">
        <v>0</v>
      </c>
      <c r="L90" s="6">
        <v>0</v>
      </c>
      <c r="M90" s="6" t="s">
        <v>27</v>
      </c>
      <c r="N90" s="6" t="s">
        <v>27</v>
      </c>
      <c r="O90" s="6" t="s">
        <v>27</v>
      </c>
      <c r="P90" s="9" t="s">
        <v>16</v>
      </c>
      <c r="Q90" s="11" t="s">
        <v>57</v>
      </c>
      <c r="R90" s="12" t="s">
        <v>139</v>
      </c>
      <c r="S90" s="6">
        <v>8</v>
      </c>
      <c r="T90" s="17" t="s">
        <v>121</v>
      </c>
      <c r="U90" s="14" t="s">
        <v>22</v>
      </c>
    </row>
    <row r="91" spans="1:21" x14ac:dyDescent="0.3">
      <c r="A91" s="9">
        <v>801</v>
      </c>
      <c r="B91" s="15">
        <v>22112022</v>
      </c>
      <c r="C91" s="16" t="s">
        <v>122</v>
      </c>
      <c r="D91" s="15">
        <f t="shared" si="2"/>
        <v>22112022</v>
      </c>
      <c r="E91" s="9" t="s">
        <v>17</v>
      </c>
      <c r="F91" s="16" t="str">
        <f t="shared" si="3"/>
        <v>COR2022000000433</v>
      </c>
      <c r="G91" s="6" t="s">
        <v>24</v>
      </c>
      <c r="H91" s="6" t="s">
        <v>130</v>
      </c>
      <c r="I91" s="6">
        <v>0</v>
      </c>
      <c r="J91" s="6">
        <v>23</v>
      </c>
      <c r="K91" s="6">
        <v>0</v>
      </c>
      <c r="L91" s="6">
        <v>0</v>
      </c>
      <c r="M91" s="6" t="s">
        <v>27</v>
      </c>
      <c r="N91" s="6" t="s">
        <v>27</v>
      </c>
      <c r="O91" s="6" t="s">
        <v>27</v>
      </c>
      <c r="P91" s="9" t="s">
        <v>16</v>
      </c>
      <c r="Q91" s="11" t="s">
        <v>57</v>
      </c>
      <c r="R91" s="12" t="s">
        <v>140</v>
      </c>
      <c r="S91" s="6">
        <v>8</v>
      </c>
      <c r="T91" s="17" t="s">
        <v>121</v>
      </c>
      <c r="U91" s="14" t="s">
        <v>22</v>
      </c>
    </row>
    <row r="92" spans="1:21" x14ac:dyDescent="0.3">
      <c r="A92" s="9">
        <v>801</v>
      </c>
      <c r="B92" s="15">
        <v>22112022</v>
      </c>
      <c r="C92" s="16" t="s">
        <v>122</v>
      </c>
      <c r="D92" s="15">
        <f t="shared" si="2"/>
        <v>22112022</v>
      </c>
      <c r="E92" s="9" t="s">
        <v>17</v>
      </c>
      <c r="F92" s="16" t="str">
        <f t="shared" si="3"/>
        <v>COR2022000000433</v>
      </c>
      <c r="G92" s="6" t="s">
        <v>24</v>
      </c>
      <c r="H92" s="6" t="s">
        <v>131</v>
      </c>
      <c r="I92" s="6">
        <v>0</v>
      </c>
      <c r="J92" s="6">
        <v>6</v>
      </c>
      <c r="K92" s="6">
        <v>0</v>
      </c>
      <c r="L92" s="6">
        <v>0</v>
      </c>
      <c r="M92" s="6" t="s">
        <v>27</v>
      </c>
      <c r="N92" s="6" t="s">
        <v>27</v>
      </c>
      <c r="O92" s="6" t="s">
        <v>27</v>
      </c>
      <c r="P92" s="9" t="s">
        <v>16</v>
      </c>
      <c r="Q92" s="11" t="s">
        <v>57</v>
      </c>
      <c r="R92" s="12" t="s">
        <v>141</v>
      </c>
      <c r="S92" s="6">
        <v>8</v>
      </c>
      <c r="T92" s="17" t="s">
        <v>121</v>
      </c>
      <c r="U92" s="14" t="s">
        <v>22</v>
      </c>
    </row>
    <row r="93" spans="1:21" x14ac:dyDescent="0.3">
      <c r="A93" s="9">
        <v>801</v>
      </c>
      <c r="B93" s="15">
        <v>22112022</v>
      </c>
      <c r="C93" s="16" t="s">
        <v>122</v>
      </c>
      <c r="D93" s="15">
        <f t="shared" si="2"/>
        <v>22112022</v>
      </c>
      <c r="E93" s="9" t="s">
        <v>17</v>
      </c>
      <c r="F93" s="16" t="str">
        <f t="shared" si="3"/>
        <v>COR2022000000433</v>
      </c>
      <c r="G93" s="6" t="s">
        <v>24</v>
      </c>
      <c r="H93" s="6" t="s">
        <v>132</v>
      </c>
      <c r="I93" s="6">
        <v>0</v>
      </c>
      <c r="J93" s="6">
        <v>4</v>
      </c>
      <c r="K93" s="6">
        <v>0</v>
      </c>
      <c r="L93" s="6">
        <v>0</v>
      </c>
      <c r="M93" s="6" t="s">
        <v>27</v>
      </c>
      <c r="N93" s="6" t="s">
        <v>27</v>
      </c>
      <c r="O93" s="6" t="s">
        <v>27</v>
      </c>
      <c r="P93" s="9" t="s">
        <v>16</v>
      </c>
      <c r="Q93" s="11" t="s">
        <v>57</v>
      </c>
      <c r="R93" s="12" t="s">
        <v>104</v>
      </c>
      <c r="S93" s="6">
        <v>8</v>
      </c>
      <c r="T93" s="17" t="s">
        <v>121</v>
      </c>
      <c r="U93" s="14" t="s">
        <v>22</v>
      </c>
    </row>
    <row r="94" spans="1:21" x14ac:dyDescent="0.3">
      <c r="A94" s="9">
        <v>801</v>
      </c>
      <c r="B94" s="15">
        <v>28112022</v>
      </c>
      <c r="C94" s="16" t="s">
        <v>144</v>
      </c>
      <c r="D94" s="15">
        <f t="shared" si="2"/>
        <v>28112022</v>
      </c>
      <c r="E94" s="9" t="s">
        <v>17</v>
      </c>
      <c r="F94" s="16" t="str">
        <f t="shared" si="3"/>
        <v>COR2022000000444</v>
      </c>
      <c r="G94" s="6" t="s">
        <v>24</v>
      </c>
      <c r="H94" s="6" t="s">
        <v>142</v>
      </c>
      <c r="I94" s="6">
        <v>0</v>
      </c>
      <c r="J94" s="6">
        <v>3</v>
      </c>
      <c r="K94" s="6">
        <v>0</v>
      </c>
      <c r="L94" s="6">
        <v>0</v>
      </c>
      <c r="M94" s="6" t="s">
        <v>27</v>
      </c>
      <c r="N94" s="6" t="s">
        <v>27</v>
      </c>
      <c r="O94" s="6" t="s">
        <v>27</v>
      </c>
      <c r="P94" s="9" t="s">
        <v>16</v>
      </c>
      <c r="Q94" s="11" t="s">
        <v>57</v>
      </c>
      <c r="R94" s="12" t="s">
        <v>143</v>
      </c>
      <c r="S94" s="6">
        <v>8</v>
      </c>
      <c r="T94" s="17" t="s">
        <v>145</v>
      </c>
      <c r="U94" s="14" t="s">
        <v>22</v>
      </c>
    </row>
  </sheetData>
  <autoFilter ref="A1:T1" xr:uid="{4DA25965-FDAC-4579-9997-0C6183F84870}"/>
  <phoneticPr fontId="2" type="noConversion"/>
  <pageMargins left="0.7" right="0.7" top="0.75" bottom="0.75" header="0.3" footer="0.3"/>
  <pageSetup scale="84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48FA-9999-41FD-A375-F8E3CE8F53FE}">
  <dimension ref="A1:A5"/>
  <sheetViews>
    <sheetView zoomScale="115" zoomScaleNormal="115" workbookViewId="0">
      <selection activeCell="A6" sqref="A6"/>
    </sheetView>
  </sheetViews>
  <sheetFormatPr defaultRowHeight="14.4" x14ac:dyDescent="0.3"/>
  <cols>
    <col min="1" max="1" width="79.88671875" style="4" bestFit="1" customWidth="1"/>
    <col min="2" max="16384" width="8.88671875" style="4"/>
  </cols>
  <sheetData>
    <row r="1" spans="1:1" x14ac:dyDescent="0.3">
      <c r="A1" s="4" t="s">
        <v>32</v>
      </c>
    </row>
    <row r="2" spans="1:1" x14ac:dyDescent="0.3">
      <c r="A2" s="4" t="s">
        <v>33</v>
      </c>
    </row>
    <row r="3" spans="1:1" x14ac:dyDescent="0.3">
      <c r="A3" s="4" t="s">
        <v>34</v>
      </c>
    </row>
    <row r="4" spans="1:1" x14ac:dyDescent="0.3">
      <c r="A4" s="4" t="s">
        <v>35</v>
      </c>
    </row>
    <row r="5" spans="1:1" x14ac:dyDescent="0.3">
      <c r="A5" s="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D69C-5584-43B5-AB64-5A30C5250125}">
  <dimension ref="B1:P6"/>
  <sheetViews>
    <sheetView workbookViewId="0">
      <selection activeCell="L8" sqref="L8"/>
    </sheetView>
  </sheetViews>
  <sheetFormatPr defaultRowHeight="14.4" x14ac:dyDescent="0.3"/>
  <cols>
    <col min="1" max="1" width="11.88671875" bestFit="1" customWidth="1"/>
    <col min="2" max="2" width="11.77734375" bestFit="1" customWidth="1"/>
    <col min="16" max="16" width="47.88671875" bestFit="1" customWidth="1"/>
  </cols>
  <sheetData>
    <row r="1" spans="2:16" x14ac:dyDescent="0.3">
      <c r="P1" s="4"/>
    </row>
    <row r="2" spans="2:16" x14ac:dyDescent="0.3">
      <c r="B2" t="s">
        <v>25</v>
      </c>
      <c r="C2" t="s">
        <v>24</v>
      </c>
      <c r="F2" t="s">
        <v>82</v>
      </c>
      <c r="G2">
        <v>150</v>
      </c>
      <c r="P2" s="4"/>
    </row>
    <row r="3" spans="2:16" x14ac:dyDescent="0.3">
      <c r="B3" t="s">
        <v>26</v>
      </c>
      <c r="C3" s="1" t="s">
        <v>23</v>
      </c>
      <c r="F3" t="s">
        <v>83</v>
      </c>
      <c r="G3">
        <v>800</v>
      </c>
    </row>
    <row r="4" spans="2:16" x14ac:dyDescent="0.3">
      <c r="B4" t="s">
        <v>56</v>
      </c>
      <c r="C4" t="s">
        <v>55</v>
      </c>
    </row>
    <row r="5" spans="2:16" x14ac:dyDescent="0.3">
      <c r="B5" t="s">
        <v>62</v>
      </c>
      <c r="C5" t="s">
        <v>81</v>
      </c>
    </row>
    <row r="6" spans="2:16" x14ac:dyDescent="0.3">
      <c r="B6" t="s">
        <v>87</v>
      </c>
      <c r="C6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228B-B10F-46A4-835B-C4FC4472CFC3}">
  <dimension ref="A2:E255"/>
  <sheetViews>
    <sheetView tabSelected="1" topLeftCell="A49" zoomScale="85" zoomScaleNormal="85" workbookViewId="0">
      <selection activeCell="C14" sqref="C14"/>
    </sheetView>
  </sheetViews>
  <sheetFormatPr defaultRowHeight="14.4" x14ac:dyDescent="0.3"/>
  <cols>
    <col min="1" max="1" width="26" style="1" bestFit="1" customWidth="1"/>
    <col min="2" max="2" width="17.21875" style="1" customWidth="1"/>
    <col min="3" max="3" width="31.77734375" style="1" bestFit="1" customWidth="1"/>
    <col min="4" max="4" width="11.88671875" style="18" customWidth="1"/>
  </cols>
  <sheetData>
    <row r="2" spans="1:5" x14ac:dyDescent="0.3">
      <c r="A2" s="21" t="s">
        <v>556</v>
      </c>
      <c r="B2" s="21" t="s">
        <v>555</v>
      </c>
      <c r="C2" s="21" t="s">
        <v>554</v>
      </c>
      <c r="D2" s="20" t="s">
        <v>553</v>
      </c>
    </row>
    <row r="3" spans="1:5" x14ac:dyDescent="0.3">
      <c r="A3" s="1" t="s">
        <v>374</v>
      </c>
      <c r="B3" s="1" t="s">
        <v>374</v>
      </c>
      <c r="C3" s="1" t="s">
        <v>373</v>
      </c>
      <c r="D3" s="19">
        <v>52</v>
      </c>
      <c r="E3" t="b">
        <v>1</v>
      </c>
    </row>
    <row r="4" spans="1:5" x14ac:dyDescent="0.3">
      <c r="A4" s="1" t="s">
        <v>372</v>
      </c>
      <c r="B4" s="1" t="s">
        <v>372</v>
      </c>
      <c r="C4" s="1" t="s">
        <v>371</v>
      </c>
      <c r="D4" s="19">
        <v>52</v>
      </c>
      <c r="E4" t="b">
        <v>1</v>
      </c>
    </row>
    <row r="5" spans="1:5" x14ac:dyDescent="0.3">
      <c r="A5" s="1" t="s">
        <v>370</v>
      </c>
      <c r="B5" s="1" t="s">
        <v>370</v>
      </c>
      <c r="C5" s="1" t="s">
        <v>369</v>
      </c>
      <c r="D5" s="19">
        <v>52</v>
      </c>
      <c r="E5" t="b">
        <v>1</v>
      </c>
    </row>
    <row r="6" spans="1:5" x14ac:dyDescent="0.3">
      <c r="A6" s="1" t="s">
        <v>368</v>
      </c>
      <c r="B6" s="1" t="s">
        <v>368</v>
      </c>
      <c r="C6" s="1" t="s">
        <v>367</v>
      </c>
      <c r="D6" s="19">
        <v>52</v>
      </c>
      <c r="E6" t="b">
        <v>1</v>
      </c>
    </row>
    <row r="7" spans="1:5" x14ac:dyDescent="0.3">
      <c r="A7" s="1" t="s">
        <v>365</v>
      </c>
      <c r="B7" s="1" t="s">
        <v>365</v>
      </c>
      <c r="C7" s="1" t="s">
        <v>364</v>
      </c>
      <c r="D7" s="19">
        <v>52</v>
      </c>
      <c r="E7" t="b">
        <v>1</v>
      </c>
    </row>
    <row r="8" spans="1:5" x14ac:dyDescent="0.3">
      <c r="A8" s="1" t="s">
        <v>362</v>
      </c>
      <c r="B8" s="1" t="s">
        <v>362</v>
      </c>
      <c r="C8" s="1" t="s">
        <v>361</v>
      </c>
      <c r="D8" s="19">
        <v>52</v>
      </c>
      <c r="E8" t="b">
        <v>1</v>
      </c>
    </row>
    <row r="9" spans="1:5" x14ac:dyDescent="0.3">
      <c r="A9" s="1" t="s">
        <v>272</v>
      </c>
      <c r="B9" s="1" t="s">
        <v>272</v>
      </c>
      <c r="C9" s="1" t="s">
        <v>271</v>
      </c>
      <c r="D9" s="19">
        <v>100</v>
      </c>
      <c r="E9" t="b">
        <v>1</v>
      </c>
    </row>
    <row r="10" spans="1:5" x14ac:dyDescent="0.3">
      <c r="A10" s="1" t="s">
        <v>269</v>
      </c>
      <c r="B10" s="1" t="s">
        <v>269</v>
      </c>
      <c r="C10" s="1" t="s">
        <v>268</v>
      </c>
      <c r="D10" s="19">
        <v>56</v>
      </c>
      <c r="E10" t="b">
        <v>1</v>
      </c>
    </row>
    <row r="11" spans="1:5" x14ac:dyDescent="0.3">
      <c r="A11" s="1" t="s">
        <v>360</v>
      </c>
      <c r="B11" s="1" t="s">
        <v>360</v>
      </c>
      <c r="C11" s="1" t="s">
        <v>359</v>
      </c>
      <c r="D11" s="19">
        <v>100</v>
      </c>
      <c r="E11" t="b">
        <v>1</v>
      </c>
    </row>
    <row r="12" spans="1:5" x14ac:dyDescent="0.3">
      <c r="A12" s="1" t="s">
        <v>266</v>
      </c>
      <c r="B12" s="1" t="s">
        <v>266</v>
      </c>
      <c r="C12" s="1" t="s">
        <v>265</v>
      </c>
      <c r="D12" s="19">
        <v>52</v>
      </c>
      <c r="E12" t="b">
        <v>1</v>
      </c>
    </row>
    <row r="13" spans="1:5" x14ac:dyDescent="0.3">
      <c r="A13" s="1" t="s">
        <v>263</v>
      </c>
      <c r="B13" s="1" t="s">
        <v>263</v>
      </c>
      <c r="C13" s="1" t="s">
        <v>262</v>
      </c>
      <c r="D13" s="19">
        <v>52</v>
      </c>
      <c r="E13" t="b">
        <v>1</v>
      </c>
    </row>
    <row r="14" spans="1:5" x14ac:dyDescent="0.3">
      <c r="A14" s="1" t="s">
        <v>357</v>
      </c>
      <c r="B14" s="1" t="s">
        <v>357</v>
      </c>
      <c r="C14" s="1" t="s">
        <v>356</v>
      </c>
      <c r="D14" s="19">
        <v>52</v>
      </c>
      <c r="E14" t="b">
        <v>1</v>
      </c>
    </row>
    <row r="15" spans="1:5" x14ac:dyDescent="0.3">
      <c r="A15" s="1" t="s">
        <v>552</v>
      </c>
      <c r="B15" s="1" t="s">
        <v>552</v>
      </c>
      <c r="C15" s="1" t="s">
        <v>551</v>
      </c>
      <c r="D15" s="19">
        <v>96</v>
      </c>
      <c r="E15" t="b">
        <v>1</v>
      </c>
    </row>
    <row r="16" spans="1:5" x14ac:dyDescent="0.3">
      <c r="A16" s="1" t="s">
        <v>355</v>
      </c>
      <c r="B16" s="1" t="s">
        <v>355</v>
      </c>
      <c r="C16" s="1" t="s">
        <v>354</v>
      </c>
      <c r="D16" s="19">
        <v>96</v>
      </c>
      <c r="E16" t="b">
        <v>1</v>
      </c>
    </row>
    <row r="17" spans="1:5" x14ac:dyDescent="0.3">
      <c r="A17" s="1" t="s">
        <v>353</v>
      </c>
      <c r="B17" s="1" t="s">
        <v>353</v>
      </c>
      <c r="C17" s="1" t="s">
        <v>352</v>
      </c>
      <c r="D17" s="19">
        <v>104</v>
      </c>
      <c r="E17" t="b">
        <v>1</v>
      </c>
    </row>
    <row r="18" spans="1:5" x14ac:dyDescent="0.3">
      <c r="A18" s="1" t="s">
        <v>351</v>
      </c>
      <c r="B18" s="1" t="s">
        <v>351</v>
      </c>
      <c r="C18" s="1" t="s">
        <v>350</v>
      </c>
      <c r="D18" s="19">
        <v>56</v>
      </c>
      <c r="E18" t="b">
        <v>1</v>
      </c>
    </row>
    <row r="19" spans="1:5" x14ac:dyDescent="0.3">
      <c r="A19" s="1" t="s">
        <v>349</v>
      </c>
      <c r="B19" s="1" t="s">
        <v>349</v>
      </c>
      <c r="C19" s="1" t="s">
        <v>348</v>
      </c>
      <c r="D19" s="19">
        <v>56</v>
      </c>
      <c r="E19" t="b">
        <v>1</v>
      </c>
    </row>
    <row r="20" spans="1:5" x14ac:dyDescent="0.3">
      <c r="A20" s="1" t="s">
        <v>347</v>
      </c>
      <c r="B20" s="1" t="s">
        <v>347</v>
      </c>
      <c r="C20" s="1" t="s">
        <v>346</v>
      </c>
      <c r="D20" s="19">
        <v>52</v>
      </c>
      <c r="E20" t="b">
        <v>1</v>
      </c>
    </row>
    <row r="21" spans="1:5" x14ac:dyDescent="0.3">
      <c r="A21" s="1" t="s">
        <v>345</v>
      </c>
      <c r="B21" s="1" t="s">
        <v>345</v>
      </c>
      <c r="C21" s="1" t="s">
        <v>344</v>
      </c>
      <c r="D21" s="19">
        <v>52</v>
      </c>
      <c r="E21" t="b">
        <v>1</v>
      </c>
    </row>
    <row r="22" spans="1:5" x14ac:dyDescent="0.3">
      <c r="A22" s="1" t="s">
        <v>343</v>
      </c>
      <c r="B22" s="1" t="s">
        <v>343</v>
      </c>
      <c r="C22" s="1" t="s">
        <v>342</v>
      </c>
      <c r="D22" s="19">
        <v>52</v>
      </c>
      <c r="E22" t="b">
        <v>1</v>
      </c>
    </row>
    <row r="23" spans="1:5" x14ac:dyDescent="0.3">
      <c r="A23" s="1" t="s">
        <v>341</v>
      </c>
      <c r="B23" s="1" t="s">
        <v>341</v>
      </c>
      <c r="C23" s="1" t="s">
        <v>340</v>
      </c>
      <c r="D23" s="19">
        <v>52</v>
      </c>
      <c r="E23" t="b">
        <v>1</v>
      </c>
    </row>
    <row r="24" spans="1:5" x14ac:dyDescent="0.3">
      <c r="A24" s="1" t="s">
        <v>339</v>
      </c>
      <c r="B24" s="1" t="s">
        <v>339</v>
      </c>
      <c r="C24" s="1" t="s">
        <v>338</v>
      </c>
      <c r="D24" s="19">
        <v>52</v>
      </c>
      <c r="E24" t="b">
        <v>1</v>
      </c>
    </row>
    <row r="25" spans="1:5" x14ac:dyDescent="0.3">
      <c r="A25" s="1" t="s">
        <v>337</v>
      </c>
      <c r="B25" s="1" t="s">
        <v>337</v>
      </c>
      <c r="C25" s="1" t="s">
        <v>336</v>
      </c>
      <c r="D25" s="19">
        <v>52</v>
      </c>
      <c r="E25" t="b">
        <v>1</v>
      </c>
    </row>
    <row r="26" spans="1:5" x14ac:dyDescent="0.3">
      <c r="A26" s="1" t="s">
        <v>335</v>
      </c>
      <c r="B26" s="1" t="s">
        <v>335</v>
      </c>
      <c r="C26" s="1" t="s">
        <v>334</v>
      </c>
      <c r="D26" s="19">
        <v>52</v>
      </c>
      <c r="E26" t="b">
        <v>1</v>
      </c>
    </row>
    <row r="27" spans="1:5" x14ac:dyDescent="0.3">
      <c r="A27" s="1" t="s">
        <v>333</v>
      </c>
      <c r="B27" s="1" t="s">
        <v>333</v>
      </c>
      <c r="C27" s="1" t="s">
        <v>332</v>
      </c>
      <c r="D27" s="19">
        <v>52</v>
      </c>
      <c r="E27" t="b">
        <v>1</v>
      </c>
    </row>
    <row r="28" spans="1:5" x14ac:dyDescent="0.3">
      <c r="A28" s="1" t="s">
        <v>331</v>
      </c>
      <c r="B28" s="1" t="s">
        <v>331</v>
      </c>
      <c r="C28" s="1" t="s">
        <v>330</v>
      </c>
      <c r="D28" s="19">
        <v>52</v>
      </c>
      <c r="E28" t="b">
        <v>1</v>
      </c>
    </row>
    <row r="29" spans="1:5" x14ac:dyDescent="0.3">
      <c r="A29" s="1" t="s">
        <v>329</v>
      </c>
      <c r="B29" s="1" t="s">
        <v>329</v>
      </c>
      <c r="C29" s="1" t="s">
        <v>328</v>
      </c>
      <c r="D29" s="19">
        <v>52</v>
      </c>
      <c r="E29" t="b">
        <v>1</v>
      </c>
    </row>
    <row r="30" spans="1:5" x14ac:dyDescent="0.3">
      <c r="A30" s="1" t="s">
        <v>206</v>
      </c>
      <c r="B30" s="1" t="s">
        <v>206</v>
      </c>
      <c r="C30" s="1" t="s">
        <v>205</v>
      </c>
      <c r="D30" s="19">
        <v>100</v>
      </c>
      <c r="E30" t="b">
        <v>1</v>
      </c>
    </row>
    <row r="31" spans="1:5" x14ac:dyDescent="0.3">
      <c r="A31" s="1" t="s">
        <v>203</v>
      </c>
      <c r="B31" s="1" t="s">
        <v>203</v>
      </c>
      <c r="C31" s="1" t="s">
        <v>202</v>
      </c>
      <c r="D31" s="19">
        <v>56</v>
      </c>
      <c r="E31" t="b">
        <v>1</v>
      </c>
    </row>
    <row r="32" spans="1:5" x14ac:dyDescent="0.3">
      <c r="A32" s="1" t="s">
        <v>200</v>
      </c>
      <c r="B32" s="1" t="s">
        <v>200</v>
      </c>
      <c r="C32" s="1" t="s">
        <v>199</v>
      </c>
      <c r="D32" s="19">
        <v>56</v>
      </c>
      <c r="E32" t="b">
        <v>1</v>
      </c>
    </row>
    <row r="33" spans="1:5" x14ac:dyDescent="0.3">
      <c r="A33" s="1" t="s">
        <v>197</v>
      </c>
      <c r="B33" s="1" t="s">
        <v>197</v>
      </c>
      <c r="C33" s="1" t="s">
        <v>196</v>
      </c>
      <c r="D33" s="19">
        <v>56</v>
      </c>
      <c r="E33" t="b">
        <v>1</v>
      </c>
    </row>
    <row r="34" spans="1:5" x14ac:dyDescent="0.3">
      <c r="A34" s="1" t="s">
        <v>326</v>
      </c>
      <c r="B34" s="1" t="s">
        <v>326</v>
      </c>
      <c r="C34" s="1" t="s">
        <v>325</v>
      </c>
      <c r="D34" s="19">
        <v>52</v>
      </c>
      <c r="E34" t="b">
        <v>1</v>
      </c>
    </row>
    <row r="35" spans="1:5" x14ac:dyDescent="0.3">
      <c r="A35" s="1" t="s">
        <v>324</v>
      </c>
      <c r="B35" s="1" t="s">
        <v>324</v>
      </c>
      <c r="C35" s="1" t="s">
        <v>323</v>
      </c>
      <c r="D35" s="19">
        <v>52</v>
      </c>
      <c r="E35" t="b">
        <v>1</v>
      </c>
    </row>
    <row r="36" spans="1:5" x14ac:dyDescent="0.3">
      <c r="A36" s="1" t="s">
        <v>322</v>
      </c>
      <c r="B36" s="1" t="s">
        <v>322</v>
      </c>
      <c r="C36" s="1" t="s">
        <v>321</v>
      </c>
      <c r="D36" s="19">
        <v>100</v>
      </c>
      <c r="E36" t="b">
        <v>1</v>
      </c>
    </row>
    <row r="37" spans="1:5" x14ac:dyDescent="0.3">
      <c r="A37" s="1" t="s">
        <v>320</v>
      </c>
      <c r="B37" s="1" t="s">
        <v>320</v>
      </c>
      <c r="C37" s="1" t="s">
        <v>319</v>
      </c>
      <c r="D37" s="19">
        <v>56</v>
      </c>
      <c r="E37" t="b">
        <v>1</v>
      </c>
    </row>
    <row r="38" spans="1:5" x14ac:dyDescent="0.3">
      <c r="A38" s="1" t="s">
        <v>317</v>
      </c>
      <c r="B38" s="1" t="s">
        <v>317</v>
      </c>
      <c r="C38" s="1" t="s">
        <v>316</v>
      </c>
      <c r="D38" s="19">
        <v>56</v>
      </c>
      <c r="E38" t="b">
        <v>1</v>
      </c>
    </row>
    <row r="39" spans="1:5" x14ac:dyDescent="0.3">
      <c r="A39" s="1" t="s">
        <v>315</v>
      </c>
      <c r="B39" s="1" t="s">
        <v>315</v>
      </c>
      <c r="C39" s="1" t="s">
        <v>314</v>
      </c>
      <c r="D39" s="19">
        <v>96</v>
      </c>
      <c r="E39" t="b">
        <v>1</v>
      </c>
    </row>
    <row r="40" spans="1:5" x14ac:dyDescent="0.3">
      <c r="A40" s="1" t="s">
        <v>313</v>
      </c>
      <c r="B40" s="1" t="s">
        <v>313</v>
      </c>
      <c r="C40" s="1" t="s">
        <v>312</v>
      </c>
      <c r="D40" s="19">
        <v>96</v>
      </c>
      <c r="E40" t="b">
        <v>1</v>
      </c>
    </row>
    <row r="41" spans="1:5" x14ac:dyDescent="0.3">
      <c r="A41" s="1" t="s">
        <v>550</v>
      </c>
      <c r="B41" s="1" t="s">
        <v>550</v>
      </c>
      <c r="C41" s="1" t="s">
        <v>549</v>
      </c>
      <c r="D41" s="19">
        <v>96</v>
      </c>
      <c r="E41" t="b">
        <v>1</v>
      </c>
    </row>
    <row r="42" spans="1:5" x14ac:dyDescent="0.3">
      <c r="A42" s="1" t="s">
        <v>310</v>
      </c>
      <c r="B42" s="1" t="s">
        <v>310</v>
      </c>
      <c r="C42" s="1" t="s">
        <v>309</v>
      </c>
      <c r="D42" s="19">
        <v>52</v>
      </c>
      <c r="E42" t="b">
        <v>1</v>
      </c>
    </row>
    <row r="43" spans="1:5" x14ac:dyDescent="0.3">
      <c r="A43" s="1" t="s">
        <v>308</v>
      </c>
      <c r="B43" s="1" t="s">
        <v>308</v>
      </c>
      <c r="C43" s="1" t="s">
        <v>307</v>
      </c>
      <c r="D43" s="19">
        <v>100</v>
      </c>
      <c r="E43" t="b">
        <v>1</v>
      </c>
    </row>
    <row r="44" spans="1:5" x14ac:dyDescent="0.3">
      <c r="A44" s="1" t="s">
        <v>306</v>
      </c>
      <c r="B44" s="1" t="s">
        <v>306</v>
      </c>
      <c r="C44" s="1" t="s">
        <v>305</v>
      </c>
      <c r="D44" s="19">
        <v>100</v>
      </c>
      <c r="E44" t="b">
        <v>1</v>
      </c>
    </row>
    <row r="45" spans="1:5" x14ac:dyDescent="0.3">
      <c r="A45" s="1" t="s">
        <v>304</v>
      </c>
      <c r="B45" s="1" t="s">
        <v>304</v>
      </c>
      <c r="C45" s="1" t="s">
        <v>303</v>
      </c>
      <c r="D45" s="19">
        <v>100</v>
      </c>
      <c r="E45" t="b">
        <v>1</v>
      </c>
    </row>
    <row r="46" spans="1:5" x14ac:dyDescent="0.3">
      <c r="A46" s="1" t="s">
        <v>548</v>
      </c>
      <c r="B46" s="1" t="s">
        <v>548</v>
      </c>
      <c r="C46" s="1" t="s">
        <v>547</v>
      </c>
      <c r="D46" s="19">
        <v>27950</v>
      </c>
      <c r="E46" t="b">
        <v>1</v>
      </c>
    </row>
    <row r="47" spans="1:5" x14ac:dyDescent="0.3">
      <c r="A47" s="1" t="s">
        <v>546</v>
      </c>
      <c r="B47" s="1" t="s">
        <v>546</v>
      </c>
      <c r="C47" s="1" t="s">
        <v>545</v>
      </c>
      <c r="D47" s="19">
        <v>21450</v>
      </c>
      <c r="E47" t="b">
        <v>1</v>
      </c>
    </row>
    <row r="48" spans="1:5" x14ac:dyDescent="0.3">
      <c r="A48" s="1" t="s">
        <v>544</v>
      </c>
      <c r="B48" s="1" t="s">
        <v>544</v>
      </c>
      <c r="C48" s="1" t="s">
        <v>543</v>
      </c>
      <c r="D48" s="19">
        <v>7550</v>
      </c>
      <c r="E48" t="b">
        <v>1</v>
      </c>
    </row>
    <row r="49" spans="1:5" x14ac:dyDescent="0.3">
      <c r="A49" s="1" t="s">
        <v>542</v>
      </c>
      <c r="B49" s="1" t="s">
        <v>542</v>
      </c>
      <c r="C49" s="1" t="s">
        <v>541</v>
      </c>
      <c r="D49" s="19">
        <v>17045</v>
      </c>
      <c r="E49" t="b">
        <v>1</v>
      </c>
    </row>
    <row r="50" spans="1:5" x14ac:dyDescent="0.3">
      <c r="A50" s="1" t="s">
        <v>540</v>
      </c>
      <c r="B50" s="1" t="s">
        <v>540</v>
      </c>
      <c r="C50" s="1" t="s">
        <v>539</v>
      </c>
      <c r="D50" s="19">
        <v>12045</v>
      </c>
      <c r="E50" t="b">
        <v>1</v>
      </c>
    </row>
    <row r="51" spans="1:5" x14ac:dyDescent="0.3">
      <c r="A51" s="1" t="s">
        <v>538</v>
      </c>
      <c r="B51" s="1" t="s">
        <v>538</v>
      </c>
      <c r="C51" s="1" t="s">
        <v>537</v>
      </c>
      <c r="D51" s="19">
        <v>10045</v>
      </c>
      <c r="E51" t="b">
        <v>1</v>
      </c>
    </row>
    <row r="52" spans="1:5" x14ac:dyDescent="0.3">
      <c r="A52" s="1" t="s">
        <v>278</v>
      </c>
      <c r="B52" s="1" t="s">
        <v>278</v>
      </c>
      <c r="C52" s="1" t="s">
        <v>277</v>
      </c>
      <c r="D52" s="19">
        <v>5000</v>
      </c>
      <c r="E52" t="b">
        <v>1</v>
      </c>
    </row>
    <row r="53" spans="1:5" x14ac:dyDescent="0.3">
      <c r="A53" s="1" t="s">
        <v>275</v>
      </c>
      <c r="B53" s="1" t="s">
        <v>275</v>
      </c>
      <c r="C53" s="1" t="s">
        <v>274</v>
      </c>
      <c r="D53" s="19">
        <v>5000</v>
      </c>
      <c r="E53" t="b">
        <v>1</v>
      </c>
    </row>
    <row r="54" spans="1:5" x14ac:dyDescent="0.3">
      <c r="A54" s="1" t="s">
        <v>536</v>
      </c>
      <c r="B54" s="1" t="s">
        <v>536</v>
      </c>
      <c r="C54" s="1" t="s">
        <v>512</v>
      </c>
      <c r="D54" s="19">
        <v>10750</v>
      </c>
      <c r="E54" t="b">
        <v>1</v>
      </c>
    </row>
    <row r="55" spans="1:5" x14ac:dyDescent="0.3">
      <c r="A55" s="1" t="s">
        <v>535</v>
      </c>
      <c r="B55" s="1" t="s">
        <v>535</v>
      </c>
      <c r="C55" s="1" t="s">
        <v>510</v>
      </c>
      <c r="D55" s="19">
        <v>8030</v>
      </c>
      <c r="E55" t="b">
        <v>1</v>
      </c>
    </row>
    <row r="56" spans="1:5" x14ac:dyDescent="0.3">
      <c r="A56" s="1" t="s">
        <v>534</v>
      </c>
      <c r="B56" s="1" t="s">
        <v>534</v>
      </c>
      <c r="C56" s="1" t="s">
        <v>530</v>
      </c>
      <c r="D56" s="19">
        <v>13000</v>
      </c>
      <c r="E56" t="b">
        <v>1</v>
      </c>
    </row>
    <row r="57" spans="1:5" x14ac:dyDescent="0.3">
      <c r="A57" s="1" t="s">
        <v>533</v>
      </c>
      <c r="B57" s="1" t="s">
        <v>533</v>
      </c>
      <c r="C57" s="1" t="s">
        <v>532</v>
      </c>
      <c r="D57" s="19">
        <v>5790</v>
      </c>
      <c r="E57" t="b">
        <v>1</v>
      </c>
    </row>
    <row r="58" spans="1:5" x14ac:dyDescent="0.3">
      <c r="A58" s="1" t="s">
        <v>531</v>
      </c>
      <c r="B58" s="1" t="s">
        <v>531</v>
      </c>
      <c r="C58" s="1" t="s">
        <v>530</v>
      </c>
      <c r="D58" s="19">
        <v>12500</v>
      </c>
      <c r="E58" t="b">
        <v>1</v>
      </c>
    </row>
    <row r="59" spans="1:5" x14ac:dyDescent="0.3">
      <c r="A59" s="1" t="s">
        <v>529</v>
      </c>
      <c r="B59" s="1" t="s">
        <v>529</v>
      </c>
      <c r="C59" s="1" t="s">
        <v>528</v>
      </c>
      <c r="D59" s="19">
        <v>3500</v>
      </c>
      <c r="E59" t="b">
        <v>1</v>
      </c>
    </row>
    <row r="60" spans="1:5" x14ac:dyDescent="0.3">
      <c r="A60" s="1" t="s">
        <v>527</v>
      </c>
      <c r="B60" s="1" t="s">
        <v>527</v>
      </c>
      <c r="C60" s="1" t="s">
        <v>526</v>
      </c>
      <c r="D60" s="19">
        <v>2500</v>
      </c>
      <c r="E60" t="b">
        <v>1</v>
      </c>
    </row>
    <row r="61" spans="1:5" x14ac:dyDescent="0.3">
      <c r="A61" s="1" t="s">
        <v>525</v>
      </c>
      <c r="B61" s="1" t="s">
        <v>525</v>
      </c>
      <c r="C61" s="1" t="s">
        <v>524</v>
      </c>
      <c r="D61" s="19">
        <v>2500</v>
      </c>
      <c r="E61" t="b">
        <v>1</v>
      </c>
    </row>
    <row r="62" spans="1:5" x14ac:dyDescent="0.3">
      <c r="A62" s="1" t="s">
        <v>523</v>
      </c>
      <c r="B62" s="1" t="s">
        <v>523</v>
      </c>
      <c r="C62" s="1" t="s">
        <v>522</v>
      </c>
      <c r="D62" s="19">
        <v>1200</v>
      </c>
      <c r="E62" t="b">
        <v>1</v>
      </c>
    </row>
    <row r="63" spans="1:5" x14ac:dyDescent="0.3">
      <c r="A63" s="1" t="s">
        <v>521</v>
      </c>
      <c r="B63" s="1" t="s">
        <v>521</v>
      </c>
      <c r="C63" s="1" t="s">
        <v>520</v>
      </c>
      <c r="D63" s="19">
        <v>1200</v>
      </c>
      <c r="E63" t="b">
        <v>1</v>
      </c>
    </row>
    <row r="64" spans="1:5" x14ac:dyDescent="0.3">
      <c r="A64" s="1" t="s">
        <v>519</v>
      </c>
      <c r="B64" s="1" t="s">
        <v>519</v>
      </c>
      <c r="C64" s="1" t="s">
        <v>518</v>
      </c>
      <c r="D64" s="19">
        <v>3400</v>
      </c>
      <c r="E64" t="b">
        <v>1</v>
      </c>
    </row>
    <row r="65" spans="1:5" x14ac:dyDescent="0.3">
      <c r="A65" s="1" t="s">
        <v>517</v>
      </c>
      <c r="B65" s="1" t="s">
        <v>517</v>
      </c>
      <c r="C65" s="1" t="s">
        <v>516</v>
      </c>
      <c r="D65" s="19">
        <v>3400</v>
      </c>
      <c r="E65" t="b">
        <v>1</v>
      </c>
    </row>
    <row r="66" spans="1:5" x14ac:dyDescent="0.3">
      <c r="A66" s="1" t="s">
        <v>515</v>
      </c>
      <c r="B66" s="1" t="s">
        <v>515</v>
      </c>
      <c r="C66" s="1" t="s">
        <v>514</v>
      </c>
      <c r="D66" s="19">
        <v>6000</v>
      </c>
      <c r="E66" t="b">
        <v>1</v>
      </c>
    </row>
    <row r="67" spans="1:5" x14ac:dyDescent="0.3">
      <c r="A67" s="1" t="s">
        <v>513</v>
      </c>
      <c r="B67" s="1" t="s">
        <v>513</v>
      </c>
      <c r="C67" s="1" t="s">
        <v>512</v>
      </c>
      <c r="D67" s="19">
        <v>11000</v>
      </c>
      <c r="E67" t="b">
        <v>1</v>
      </c>
    </row>
    <row r="68" spans="1:5" x14ac:dyDescent="0.3">
      <c r="A68" s="1" t="s">
        <v>511</v>
      </c>
      <c r="B68" s="1" t="s">
        <v>511</v>
      </c>
      <c r="C68" s="1" t="s">
        <v>510</v>
      </c>
      <c r="D68" s="19">
        <v>6500</v>
      </c>
      <c r="E68" t="b">
        <v>1</v>
      </c>
    </row>
    <row r="69" spans="1:5" x14ac:dyDescent="0.3">
      <c r="A69" s="1" t="s">
        <v>509</v>
      </c>
      <c r="B69" s="1" t="s">
        <v>509</v>
      </c>
      <c r="C69" s="1" t="s">
        <v>508</v>
      </c>
      <c r="D69" s="19">
        <v>1200</v>
      </c>
      <c r="E69" t="b">
        <v>1</v>
      </c>
    </row>
    <row r="70" spans="1:5" x14ac:dyDescent="0.3">
      <c r="A70" s="1" t="s">
        <v>507</v>
      </c>
      <c r="B70" s="1" t="s">
        <v>507</v>
      </c>
      <c r="C70" s="1" t="s">
        <v>506</v>
      </c>
      <c r="D70" s="19">
        <v>1400</v>
      </c>
      <c r="E70" t="b">
        <v>1</v>
      </c>
    </row>
    <row r="71" spans="1:5" x14ac:dyDescent="0.3">
      <c r="A71" s="1" t="s">
        <v>505</v>
      </c>
      <c r="B71" s="1" t="s">
        <v>505</v>
      </c>
      <c r="C71" s="1" t="s">
        <v>504</v>
      </c>
      <c r="D71" s="19">
        <v>3000</v>
      </c>
      <c r="E71" t="b">
        <v>1</v>
      </c>
    </row>
    <row r="72" spans="1:5" x14ac:dyDescent="0.3">
      <c r="A72" s="1" t="s">
        <v>503</v>
      </c>
      <c r="B72" s="1" t="s">
        <v>503</v>
      </c>
      <c r="C72" s="1" t="s">
        <v>502</v>
      </c>
      <c r="D72" s="19">
        <v>1700</v>
      </c>
      <c r="E72" t="b">
        <v>1</v>
      </c>
    </row>
    <row r="73" spans="1:5" x14ac:dyDescent="0.3">
      <c r="A73" s="1" t="s">
        <v>501</v>
      </c>
      <c r="B73" s="1" t="s">
        <v>501</v>
      </c>
      <c r="C73" s="1" t="s">
        <v>500</v>
      </c>
      <c r="D73" s="19">
        <v>1000</v>
      </c>
      <c r="E73" t="b">
        <v>1</v>
      </c>
    </row>
    <row r="74" spans="1:5" x14ac:dyDescent="0.3">
      <c r="A74" s="1" t="s">
        <v>499</v>
      </c>
      <c r="B74" s="1" t="s">
        <v>499</v>
      </c>
      <c r="C74" s="1" t="s">
        <v>498</v>
      </c>
      <c r="D74" s="19">
        <v>1000</v>
      </c>
      <c r="E74" t="b">
        <v>1</v>
      </c>
    </row>
    <row r="75" spans="1:5" x14ac:dyDescent="0.3">
      <c r="A75" s="1" t="s">
        <v>497</v>
      </c>
      <c r="B75" s="1" t="s">
        <v>497</v>
      </c>
      <c r="C75" s="1" t="s">
        <v>496</v>
      </c>
      <c r="D75" s="19">
        <v>1500</v>
      </c>
      <c r="E75" t="b">
        <v>1</v>
      </c>
    </row>
    <row r="76" spans="1:5" x14ac:dyDescent="0.3">
      <c r="A76" s="1" t="s">
        <v>495</v>
      </c>
      <c r="B76" s="1" t="s">
        <v>293</v>
      </c>
      <c r="C76" s="1" t="s">
        <v>292</v>
      </c>
      <c r="D76" s="19">
        <v>1300</v>
      </c>
      <c r="E76" t="b">
        <v>1</v>
      </c>
    </row>
    <row r="77" spans="1:5" x14ac:dyDescent="0.3">
      <c r="A77" s="1" t="s">
        <v>494</v>
      </c>
      <c r="B77" s="1" t="s">
        <v>287</v>
      </c>
      <c r="C77" s="1" t="s">
        <v>286</v>
      </c>
      <c r="D77" s="19">
        <v>600</v>
      </c>
      <c r="E77" t="b">
        <v>1</v>
      </c>
    </row>
    <row r="78" spans="1:5" x14ac:dyDescent="0.3">
      <c r="A78" s="1" t="s">
        <v>493</v>
      </c>
      <c r="B78" s="1" t="s">
        <v>281</v>
      </c>
      <c r="C78" s="1" t="s">
        <v>280</v>
      </c>
      <c r="D78" s="19">
        <v>600</v>
      </c>
      <c r="E78" t="b">
        <v>1</v>
      </c>
    </row>
    <row r="79" spans="1:5" x14ac:dyDescent="0.3">
      <c r="A79" s="1" t="s">
        <v>492</v>
      </c>
      <c r="B79" s="1" t="s">
        <v>491</v>
      </c>
      <c r="C79" s="1" t="s">
        <v>490</v>
      </c>
      <c r="D79" s="19">
        <v>76</v>
      </c>
      <c r="E79" t="b">
        <v>1</v>
      </c>
    </row>
    <row r="80" spans="1:5" x14ac:dyDescent="0.3">
      <c r="A80" s="1" t="s">
        <v>489</v>
      </c>
      <c r="B80" s="1" t="s">
        <v>488</v>
      </c>
      <c r="C80" s="1" t="s">
        <v>487</v>
      </c>
      <c r="D80" s="19">
        <v>76</v>
      </c>
      <c r="E80" t="b">
        <v>1</v>
      </c>
    </row>
    <row r="81" spans="1:5" x14ac:dyDescent="0.3">
      <c r="A81" s="1" t="s">
        <v>486</v>
      </c>
      <c r="B81" s="1" t="s">
        <v>486</v>
      </c>
      <c r="C81" s="1" t="s">
        <v>485</v>
      </c>
      <c r="D81" s="19">
        <v>1000</v>
      </c>
      <c r="E81" t="b">
        <v>1</v>
      </c>
    </row>
    <row r="82" spans="1:5" x14ac:dyDescent="0.3">
      <c r="A82" s="1" t="s">
        <v>425</v>
      </c>
      <c r="B82" s="1" t="s">
        <v>425</v>
      </c>
      <c r="C82" s="1" t="s">
        <v>424</v>
      </c>
      <c r="D82" s="19">
        <v>1600</v>
      </c>
      <c r="E82" t="b">
        <v>1</v>
      </c>
    </row>
    <row r="83" spans="1:5" x14ac:dyDescent="0.3">
      <c r="A83" s="1" t="s">
        <v>423</v>
      </c>
      <c r="B83" s="1" t="s">
        <v>423</v>
      </c>
      <c r="C83" s="1" t="s">
        <v>422</v>
      </c>
      <c r="D83" s="19">
        <v>1400</v>
      </c>
      <c r="E83" t="b">
        <v>1</v>
      </c>
    </row>
    <row r="84" spans="1:5" x14ac:dyDescent="0.3">
      <c r="A84" s="1" t="s">
        <v>421</v>
      </c>
      <c r="B84" s="1" t="s">
        <v>421</v>
      </c>
      <c r="C84" s="1" t="s">
        <v>420</v>
      </c>
      <c r="D84" s="19">
        <v>1400</v>
      </c>
      <c r="E84" t="b">
        <v>1</v>
      </c>
    </row>
    <row r="85" spans="1:5" x14ac:dyDescent="0.3">
      <c r="A85" s="1" t="s">
        <v>419</v>
      </c>
      <c r="B85" s="1" t="s">
        <v>419</v>
      </c>
      <c r="C85" s="1" t="s">
        <v>418</v>
      </c>
      <c r="D85" s="19">
        <v>500</v>
      </c>
      <c r="E85" t="b">
        <v>1</v>
      </c>
    </row>
    <row r="86" spans="1:5" x14ac:dyDescent="0.3">
      <c r="A86" s="1" t="s">
        <v>484</v>
      </c>
      <c r="B86" s="1" t="s">
        <v>484</v>
      </c>
      <c r="C86" s="1" t="s">
        <v>483</v>
      </c>
      <c r="D86" s="19">
        <v>500</v>
      </c>
      <c r="E86" t="b">
        <v>1</v>
      </c>
    </row>
    <row r="87" spans="1:5" x14ac:dyDescent="0.3">
      <c r="A87" s="1" t="s">
        <v>482</v>
      </c>
      <c r="B87" s="1" t="s">
        <v>482</v>
      </c>
      <c r="C87" s="1" t="s">
        <v>481</v>
      </c>
      <c r="D87" s="19">
        <v>500</v>
      </c>
      <c r="E87" t="b">
        <v>1</v>
      </c>
    </row>
    <row r="88" spans="1:5" x14ac:dyDescent="0.3">
      <c r="A88" s="1" t="s">
        <v>480</v>
      </c>
      <c r="B88" s="1" t="s">
        <v>480</v>
      </c>
      <c r="C88" s="1" t="s">
        <v>479</v>
      </c>
      <c r="D88" s="19">
        <v>500</v>
      </c>
      <c r="E88" t="b">
        <v>1</v>
      </c>
    </row>
    <row r="89" spans="1:5" x14ac:dyDescent="0.3">
      <c r="A89" s="1" t="s">
        <v>478</v>
      </c>
      <c r="B89" s="1" t="s">
        <v>478</v>
      </c>
      <c r="C89" s="1" t="s">
        <v>477</v>
      </c>
      <c r="D89" s="19">
        <v>1200</v>
      </c>
      <c r="E89" t="b">
        <v>1</v>
      </c>
    </row>
    <row r="90" spans="1:5" x14ac:dyDescent="0.3">
      <c r="A90" s="1" t="s">
        <v>476</v>
      </c>
      <c r="B90" s="1" t="s">
        <v>476</v>
      </c>
      <c r="C90" s="1" t="s">
        <v>475</v>
      </c>
      <c r="D90" s="19">
        <v>500</v>
      </c>
      <c r="E90" t="b">
        <v>1</v>
      </c>
    </row>
    <row r="91" spans="1:5" x14ac:dyDescent="0.3">
      <c r="A91" s="1" t="s">
        <v>474</v>
      </c>
      <c r="B91" s="1" t="s">
        <v>474</v>
      </c>
      <c r="C91" s="1" t="s">
        <v>473</v>
      </c>
      <c r="D91" s="19">
        <v>800</v>
      </c>
      <c r="E91" t="b">
        <v>1</v>
      </c>
    </row>
    <row r="92" spans="1:5" x14ac:dyDescent="0.3">
      <c r="A92" s="1" t="s">
        <v>472</v>
      </c>
      <c r="B92" s="1" t="s">
        <v>472</v>
      </c>
      <c r="C92" s="1" t="s">
        <v>471</v>
      </c>
      <c r="D92" s="19">
        <v>1100</v>
      </c>
      <c r="E92" t="b">
        <v>1</v>
      </c>
    </row>
    <row r="93" spans="1:5" x14ac:dyDescent="0.3">
      <c r="A93" s="1" t="s">
        <v>390</v>
      </c>
      <c r="B93" s="1" t="s">
        <v>390</v>
      </c>
      <c r="C93" s="1" t="s">
        <v>389</v>
      </c>
      <c r="D93" s="19">
        <v>1700</v>
      </c>
      <c r="E93" t="b">
        <v>1</v>
      </c>
    </row>
    <row r="94" spans="1:5" x14ac:dyDescent="0.3">
      <c r="A94" s="1" t="s">
        <v>470</v>
      </c>
      <c r="B94" s="1" t="s">
        <v>470</v>
      </c>
      <c r="C94" s="1" t="s">
        <v>469</v>
      </c>
      <c r="D94" s="19">
        <v>1100</v>
      </c>
      <c r="E94" t="b">
        <v>1</v>
      </c>
    </row>
    <row r="95" spans="1:5" x14ac:dyDescent="0.3">
      <c r="A95" s="1" t="s">
        <v>468</v>
      </c>
      <c r="B95" s="1" t="s">
        <v>468</v>
      </c>
      <c r="C95" s="1" t="s">
        <v>467</v>
      </c>
      <c r="D95" s="19">
        <v>1200</v>
      </c>
      <c r="E95" t="b">
        <v>1</v>
      </c>
    </row>
    <row r="96" spans="1:5" x14ac:dyDescent="0.3">
      <c r="A96" s="1" t="s">
        <v>466</v>
      </c>
      <c r="B96" s="1" t="s">
        <v>466</v>
      </c>
      <c r="C96" s="1" t="s">
        <v>465</v>
      </c>
      <c r="D96" s="19">
        <v>500</v>
      </c>
      <c r="E96" t="b">
        <v>1</v>
      </c>
    </row>
    <row r="97" spans="1:5" x14ac:dyDescent="0.3">
      <c r="A97" s="1" t="s">
        <v>464</v>
      </c>
      <c r="B97" s="1" t="s">
        <v>464</v>
      </c>
      <c r="C97" s="1" t="s">
        <v>463</v>
      </c>
      <c r="D97" s="19">
        <v>500</v>
      </c>
      <c r="E97" t="b">
        <v>1</v>
      </c>
    </row>
    <row r="98" spans="1:5" x14ac:dyDescent="0.3">
      <c r="A98" s="1" t="s">
        <v>462</v>
      </c>
      <c r="B98" s="1" t="s">
        <v>462</v>
      </c>
      <c r="C98" s="1" t="s">
        <v>461</v>
      </c>
      <c r="D98" s="19">
        <v>300</v>
      </c>
      <c r="E98" t="b">
        <v>1</v>
      </c>
    </row>
    <row r="99" spans="1:5" x14ac:dyDescent="0.3">
      <c r="A99" s="1" t="s">
        <v>89</v>
      </c>
      <c r="B99" s="1" t="s">
        <v>89</v>
      </c>
      <c r="C99" s="1" t="s">
        <v>460</v>
      </c>
      <c r="D99" s="19">
        <v>1000</v>
      </c>
      <c r="E99" t="b">
        <v>1</v>
      </c>
    </row>
    <row r="100" spans="1:5" x14ac:dyDescent="0.3">
      <c r="A100" s="1" t="s">
        <v>113</v>
      </c>
      <c r="B100" s="1" t="s">
        <v>113</v>
      </c>
      <c r="C100" s="1" t="s">
        <v>459</v>
      </c>
      <c r="D100" s="19">
        <v>500</v>
      </c>
      <c r="E100" t="b">
        <v>1</v>
      </c>
    </row>
    <row r="101" spans="1:5" x14ac:dyDescent="0.3">
      <c r="A101" s="1" t="s">
        <v>458</v>
      </c>
      <c r="B101" s="1" t="s">
        <v>453</v>
      </c>
      <c r="C101" s="1" t="s">
        <v>452</v>
      </c>
      <c r="D101" s="19">
        <v>0</v>
      </c>
      <c r="E101" t="b">
        <v>1</v>
      </c>
    </row>
    <row r="102" spans="1:5" x14ac:dyDescent="0.3">
      <c r="A102" s="1" t="s">
        <v>457</v>
      </c>
      <c r="B102" s="1" t="s">
        <v>453</v>
      </c>
      <c r="C102" s="1" t="s">
        <v>452</v>
      </c>
      <c r="D102" s="19">
        <v>6600</v>
      </c>
      <c r="E102" t="b">
        <v>1</v>
      </c>
    </row>
    <row r="103" spans="1:5" x14ac:dyDescent="0.3">
      <c r="A103" s="1" t="s">
        <v>456</v>
      </c>
      <c r="B103" s="1" t="s">
        <v>453</v>
      </c>
      <c r="C103" s="1" t="s">
        <v>452</v>
      </c>
      <c r="D103" s="19">
        <v>3000</v>
      </c>
      <c r="E103" t="b">
        <v>1</v>
      </c>
    </row>
    <row r="104" spans="1:5" x14ac:dyDescent="0.3">
      <c r="A104" s="1" t="s">
        <v>455</v>
      </c>
      <c r="B104" s="1" t="s">
        <v>453</v>
      </c>
      <c r="C104" s="1" t="s">
        <v>452</v>
      </c>
      <c r="D104" s="19">
        <v>4000</v>
      </c>
      <c r="E104" t="b">
        <v>1</v>
      </c>
    </row>
    <row r="105" spans="1:5" x14ac:dyDescent="0.3">
      <c r="A105" s="1" t="s">
        <v>454</v>
      </c>
      <c r="B105" s="1" t="s">
        <v>453</v>
      </c>
      <c r="C105" s="1" t="s">
        <v>452</v>
      </c>
      <c r="D105" s="19">
        <v>0</v>
      </c>
      <c r="E105" t="b">
        <v>1</v>
      </c>
    </row>
    <row r="106" spans="1:5" x14ac:dyDescent="0.3">
      <c r="A106" s="1" t="s">
        <v>451</v>
      </c>
      <c r="B106" s="1" t="s">
        <v>451</v>
      </c>
      <c r="C106" s="1" t="s">
        <v>450</v>
      </c>
      <c r="D106" s="19">
        <v>6000</v>
      </c>
      <c r="E106" t="b">
        <v>1</v>
      </c>
    </row>
    <row r="107" spans="1:5" x14ac:dyDescent="0.3">
      <c r="A107" s="1" t="s">
        <v>449</v>
      </c>
      <c r="B107" s="1" t="s">
        <v>272</v>
      </c>
      <c r="C107" s="1" t="s">
        <v>271</v>
      </c>
      <c r="D107" s="19">
        <v>168</v>
      </c>
      <c r="E107" t="b">
        <v>1</v>
      </c>
    </row>
    <row r="108" spans="1:5" x14ac:dyDescent="0.3">
      <c r="A108" s="1" t="s">
        <v>448</v>
      </c>
      <c r="B108" s="1" t="s">
        <v>269</v>
      </c>
      <c r="C108" s="1" t="s">
        <v>268</v>
      </c>
      <c r="D108" s="19">
        <v>168</v>
      </c>
      <c r="E108" t="b">
        <v>1</v>
      </c>
    </row>
    <row r="109" spans="1:5" x14ac:dyDescent="0.3">
      <c r="A109" s="1" t="s">
        <v>447</v>
      </c>
      <c r="B109" s="1" t="s">
        <v>266</v>
      </c>
      <c r="C109" s="1" t="s">
        <v>265</v>
      </c>
      <c r="D109" s="19">
        <v>108</v>
      </c>
      <c r="E109" t="b">
        <v>1</v>
      </c>
    </row>
    <row r="110" spans="1:5" x14ac:dyDescent="0.3">
      <c r="A110" s="1" t="s">
        <v>446</v>
      </c>
      <c r="B110" s="1" t="s">
        <v>263</v>
      </c>
      <c r="C110" s="1" t="s">
        <v>262</v>
      </c>
      <c r="D110" s="19">
        <v>162</v>
      </c>
      <c r="E110" t="b">
        <v>1</v>
      </c>
    </row>
    <row r="111" spans="1:5" x14ac:dyDescent="0.3">
      <c r="A111" s="1" t="s">
        <v>445</v>
      </c>
      <c r="B111" s="1" t="s">
        <v>444</v>
      </c>
      <c r="C111" s="1" t="s">
        <v>443</v>
      </c>
      <c r="D111" s="19">
        <v>60</v>
      </c>
      <c r="E111" t="b">
        <v>1</v>
      </c>
    </row>
    <row r="112" spans="1:5" x14ac:dyDescent="0.3">
      <c r="A112" s="1" t="s">
        <v>442</v>
      </c>
      <c r="B112" s="1" t="s">
        <v>441</v>
      </c>
      <c r="C112" s="1" t="s">
        <v>256</v>
      </c>
      <c r="D112" s="19">
        <v>102</v>
      </c>
      <c r="E112" t="b">
        <v>1</v>
      </c>
    </row>
    <row r="113" spans="1:5" x14ac:dyDescent="0.3">
      <c r="A113" s="1" t="s">
        <v>440</v>
      </c>
      <c r="B113" s="1" t="s">
        <v>254</v>
      </c>
      <c r="C113" s="1" t="s">
        <v>253</v>
      </c>
      <c r="D113" s="19">
        <v>96</v>
      </c>
      <c r="E113" t="b">
        <v>1</v>
      </c>
    </row>
    <row r="114" spans="1:5" x14ac:dyDescent="0.3">
      <c r="A114" s="1" t="s">
        <v>439</v>
      </c>
      <c r="B114" s="1" t="s">
        <v>251</v>
      </c>
      <c r="C114" s="1" t="s">
        <v>250</v>
      </c>
      <c r="D114" s="19">
        <v>54</v>
      </c>
      <c r="E114" t="b">
        <v>1</v>
      </c>
    </row>
    <row r="115" spans="1:5" x14ac:dyDescent="0.3">
      <c r="A115" s="1" t="s">
        <v>438</v>
      </c>
      <c r="B115" s="1" t="s">
        <v>437</v>
      </c>
      <c r="C115" s="1" t="s">
        <v>247</v>
      </c>
      <c r="D115" s="19">
        <v>102</v>
      </c>
      <c r="E115" t="b">
        <v>1</v>
      </c>
    </row>
    <row r="116" spans="1:5" x14ac:dyDescent="0.3">
      <c r="A116" s="1" t="s">
        <v>436</v>
      </c>
      <c r="B116" s="1" t="s">
        <v>242</v>
      </c>
      <c r="C116" s="1" t="s">
        <v>241</v>
      </c>
      <c r="D116" s="19">
        <v>102</v>
      </c>
      <c r="E116" t="b">
        <v>1</v>
      </c>
    </row>
    <row r="117" spans="1:5" x14ac:dyDescent="0.3">
      <c r="A117" s="1" t="s">
        <v>435</v>
      </c>
      <c r="B117" s="1" t="s">
        <v>239</v>
      </c>
      <c r="C117" s="1" t="s">
        <v>238</v>
      </c>
      <c r="D117" s="19">
        <v>150</v>
      </c>
      <c r="E117" t="b">
        <v>1</v>
      </c>
    </row>
    <row r="118" spans="1:5" x14ac:dyDescent="0.3">
      <c r="A118" s="1" t="s">
        <v>434</v>
      </c>
      <c r="B118" s="1" t="s">
        <v>236</v>
      </c>
      <c r="C118" s="1" t="s">
        <v>235</v>
      </c>
      <c r="D118" s="19">
        <v>102</v>
      </c>
      <c r="E118" t="b">
        <v>1</v>
      </c>
    </row>
    <row r="119" spans="1:5" x14ac:dyDescent="0.3">
      <c r="A119" s="1" t="s">
        <v>433</v>
      </c>
      <c r="B119" s="1" t="s">
        <v>233</v>
      </c>
      <c r="C119" s="1" t="s">
        <v>232</v>
      </c>
      <c r="D119" s="19">
        <v>144</v>
      </c>
      <c r="E119" t="b">
        <v>1</v>
      </c>
    </row>
    <row r="120" spans="1:5" x14ac:dyDescent="0.3">
      <c r="A120" s="1" t="s">
        <v>432</v>
      </c>
      <c r="B120" s="1" t="s">
        <v>230</v>
      </c>
      <c r="C120" s="1" t="s">
        <v>229</v>
      </c>
      <c r="D120" s="19">
        <v>102</v>
      </c>
      <c r="E120" t="b">
        <v>1</v>
      </c>
    </row>
    <row r="121" spans="1:5" x14ac:dyDescent="0.3">
      <c r="A121" s="1" t="s">
        <v>431</v>
      </c>
      <c r="B121" s="1" t="s">
        <v>227</v>
      </c>
      <c r="C121" s="1" t="s">
        <v>226</v>
      </c>
      <c r="D121" s="19">
        <v>60</v>
      </c>
      <c r="E121" t="b">
        <v>1</v>
      </c>
    </row>
    <row r="122" spans="1:5" x14ac:dyDescent="0.3">
      <c r="A122" s="1" t="s">
        <v>430</v>
      </c>
      <c r="B122" s="1" t="s">
        <v>224</v>
      </c>
      <c r="C122" s="1" t="s">
        <v>223</v>
      </c>
      <c r="D122" s="19">
        <v>60</v>
      </c>
      <c r="E122" t="b">
        <v>1</v>
      </c>
    </row>
    <row r="123" spans="1:5" x14ac:dyDescent="0.3">
      <c r="A123" s="1" t="s">
        <v>429</v>
      </c>
      <c r="B123" s="1" t="s">
        <v>221</v>
      </c>
      <c r="C123" s="1" t="s">
        <v>220</v>
      </c>
      <c r="D123" s="19">
        <v>60</v>
      </c>
      <c r="E123" t="b">
        <v>1</v>
      </c>
    </row>
    <row r="124" spans="1:5" x14ac:dyDescent="0.3">
      <c r="A124" s="1" t="s">
        <v>428</v>
      </c>
      <c r="B124" s="1" t="s">
        <v>218</v>
      </c>
      <c r="C124" s="1" t="s">
        <v>217</v>
      </c>
      <c r="D124" s="19">
        <v>54</v>
      </c>
      <c r="E124" t="b">
        <v>1</v>
      </c>
    </row>
    <row r="125" spans="1:5" x14ac:dyDescent="0.3">
      <c r="A125" s="1" t="s">
        <v>427</v>
      </c>
      <c r="B125" s="1" t="s">
        <v>212</v>
      </c>
      <c r="C125" s="1" t="s">
        <v>211</v>
      </c>
      <c r="D125" s="19">
        <v>96</v>
      </c>
      <c r="E125" t="b">
        <v>1</v>
      </c>
    </row>
    <row r="126" spans="1:5" x14ac:dyDescent="0.3">
      <c r="A126" s="1" t="s">
        <v>426</v>
      </c>
      <c r="B126" s="1" t="s">
        <v>426</v>
      </c>
      <c r="C126" s="1" t="s">
        <v>208</v>
      </c>
      <c r="D126" s="19">
        <v>102</v>
      </c>
      <c r="E126" t="b">
        <v>1</v>
      </c>
    </row>
    <row r="127" spans="1:5" x14ac:dyDescent="0.3">
      <c r="A127" s="1" t="s">
        <v>119</v>
      </c>
      <c r="B127" s="1" t="s">
        <v>425</v>
      </c>
      <c r="C127" s="1" t="s">
        <v>424</v>
      </c>
      <c r="D127" s="19">
        <v>1400</v>
      </c>
      <c r="E127" t="b">
        <v>1</v>
      </c>
    </row>
    <row r="128" spans="1:5" x14ac:dyDescent="0.3">
      <c r="A128" s="1" t="s">
        <v>117</v>
      </c>
      <c r="B128" s="1" t="s">
        <v>423</v>
      </c>
      <c r="C128" s="1" t="s">
        <v>422</v>
      </c>
      <c r="D128" s="19">
        <v>900</v>
      </c>
      <c r="E128" t="b">
        <v>1</v>
      </c>
    </row>
    <row r="129" spans="1:5" x14ac:dyDescent="0.3">
      <c r="A129" s="1" t="s">
        <v>28</v>
      </c>
      <c r="B129" s="1" t="s">
        <v>421</v>
      </c>
      <c r="C129" s="1" t="s">
        <v>420</v>
      </c>
      <c r="D129" s="19">
        <v>900</v>
      </c>
      <c r="E129" t="b">
        <v>1</v>
      </c>
    </row>
    <row r="130" spans="1:5" x14ac:dyDescent="0.3">
      <c r="A130" s="1" t="s">
        <v>116</v>
      </c>
      <c r="B130" s="1" t="s">
        <v>419</v>
      </c>
      <c r="C130" s="1" t="s">
        <v>418</v>
      </c>
      <c r="D130" s="19">
        <v>900</v>
      </c>
      <c r="E130" t="b">
        <v>1</v>
      </c>
    </row>
    <row r="131" spans="1:5" x14ac:dyDescent="0.3">
      <c r="A131" s="1" t="s">
        <v>97</v>
      </c>
      <c r="B131" s="1" t="s">
        <v>417</v>
      </c>
      <c r="C131" s="1" t="s">
        <v>416</v>
      </c>
      <c r="D131" s="19">
        <v>900</v>
      </c>
      <c r="E131" t="b">
        <v>1</v>
      </c>
    </row>
    <row r="132" spans="1:5" x14ac:dyDescent="0.3">
      <c r="A132" s="1" t="s">
        <v>142</v>
      </c>
      <c r="B132" s="1" t="s">
        <v>415</v>
      </c>
      <c r="C132" s="1" t="s">
        <v>414</v>
      </c>
      <c r="D132" s="19">
        <v>400</v>
      </c>
      <c r="E132" t="b">
        <v>1</v>
      </c>
    </row>
    <row r="133" spans="1:5" x14ac:dyDescent="0.3">
      <c r="A133" s="1" t="s">
        <v>413</v>
      </c>
      <c r="B133" s="1" t="s">
        <v>412</v>
      </c>
      <c r="C133" s="1" t="s">
        <v>411</v>
      </c>
      <c r="D133" s="19">
        <v>900</v>
      </c>
      <c r="E133" t="b">
        <v>1</v>
      </c>
    </row>
    <row r="134" spans="1:5" x14ac:dyDescent="0.3">
      <c r="A134" s="1" t="s">
        <v>93</v>
      </c>
      <c r="B134" s="1" t="s">
        <v>410</v>
      </c>
      <c r="C134" s="1" t="s">
        <v>361</v>
      </c>
      <c r="D134" s="19">
        <v>750</v>
      </c>
      <c r="E134" t="b">
        <v>1</v>
      </c>
    </row>
    <row r="135" spans="1:5" x14ac:dyDescent="0.3">
      <c r="A135" s="1" t="s">
        <v>409</v>
      </c>
      <c r="B135" s="1" t="s">
        <v>206</v>
      </c>
      <c r="C135" s="1" t="s">
        <v>205</v>
      </c>
      <c r="D135" s="19">
        <v>126</v>
      </c>
      <c r="E135" t="b">
        <v>1</v>
      </c>
    </row>
    <row r="136" spans="1:5" x14ac:dyDescent="0.3">
      <c r="A136" s="1" t="s">
        <v>408</v>
      </c>
      <c r="B136" s="1" t="s">
        <v>203</v>
      </c>
      <c r="C136" s="1" t="s">
        <v>202</v>
      </c>
      <c r="D136" s="19">
        <v>168</v>
      </c>
      <c r="E136" t="b">
        <v>1</v>
      </c>
    </row>
    <row r="137" spans="1:5" x14ac:dyDescent="0.3">
      <c r="A137" s="1" t="s">
        <v>407</v>
      </c>
      <c r="B137" s="1" t="s">
        <v>200</v>
      </c>
      <c r="C137" s="1" t="s">
        <v>199</v>
      </c>
      <c r="D137" s="19">
        <v>108</v>
      </c>
      <c r="E137" t="b">
        <v>1</v>
      </c>
    </row>
    <row r="138" spans="1:5" x14ac:dyDescent="0.3">
      <c r="A138" s="1" t="s">
        <v>406</v>
      </c>
      <c r="B138" s="1" t="s">
        <v>197</v>
      </c>
      <c r="C138" s="1" t="s">
        <v>196</v>
      </c>
      <c r="D138" s="19">
        <v>162</v>
      </c>
      <c r="E138" t="b">
        <v>1</v>
      </c>
    </row>
    <row r="139" spans="1:5" x14ac:dyDescent="0.3">
      <c r="A139" s="1" t="s">
        <v>405</v>
      </c>
      <c r="B139" s="1" t="s">
        <v>194</v>
      </c>
      <c r="C139" s="1" t="s">
        <v>193</v>
      </c>
      <c r="D139" s="19">
        <v>168</v>
      </c>
      <c r="E139" t="b">
        <v>1</v>
      </c>
    </row>
    <row r="140" spans="1:5" x14ac:dyDescent="0.3">
      <c r="A140" s="1" t="s">
        <v>404</v>
      </c>
      <c r="B140" s="1" t="s">
        <v>191</v>
      </c>
      <c r="C140" s="1" t="s">
        <v>190</v>
      </c>
      <c r="D140" s="19">
        <v>168</v>
      </c>
      <c r="E140" t="b">
        <v>1</v>
      </c>
    </row>
    <row r="141" spans="1:5" x14ac:dyDescent="0.3">
      <c r="A141" s="1" t="s">
        <v>403</v>
      </c>
      <c r="B141" s="1" t="s">
        <v>308</v>
      </c>
      <c r="C141" s="1" t="s">
        <v>307</v>
      </c>
      <c r="D141" s="19">
        <v>60</v>
      </c>
      <c r="E141" t="b">
        <v>1</v>
      </c>
    </row>
    <row r="142" spans="1:5" x14ac:dyDescent="0.3">
      <c r="A142" s="1" t="s">
        <v>402</v>
      </c>
      <c r="B142" s="1" t="s">
        <v>306</v>
      </c>
      <c r="C142" s="1" t="s">
        <v>305</v>
      </c>
      <c r="D142" s="19">
        <v>60</v>
      </c>
      <c r="E142" t="b">
        <v>1</v>
      </c>
    </row>
    <row r="143" spans="1:5" x14ac:dyDescent="0.3">
      <c r="A143" s="1" t="s">
        <v>401</v>
      </c>
      <c r="B143" s="1" t="s">
        <v>306</v>
      </c>
      <c r="C143" s="1" t="s">
        <v>305</v>
      </c>
      <c r="D143" s="19">
        <v>60</v>
      </c>
      <c r="E143" t="b">
        <v>1</v>
      </c>
    </row>
    <row r="144" spans="1:5" x14ac:dyDescent="0.3">
      <c r="A144" s="1" t="s">
        <v>400</v>
      </c>
      <c r="B144" s="1" t="s">
        <v>188</v>
      </c>
      <c r="C144" s="1" t="s">
        <v>187</v>
      </c>
      <c r="D144" s="19">
        <v>168</v>
      </c>
      <c r="E144" t="b">
        <v>1</v>
      </c>
    </row>
    <row r="145" spans="1:5" x14ac:dyDescent="0.3">
      <c r="A145" s="1" t="s">
        <v>399</v>
      </c>
      <c r="B145" s="1" t="s">
        <v>399</v>
      </c>
      <c r="C145" s="1" t="s">
        <v>184</v>
      </c>
      <c r="D145" s="19">
        <v>54</v>
      </c>
      <c r="E145" t="b">
        <v>1</v>
      </c>
    </row>
    <row r="146" spans="1:5" x14ac:dyDescent="0.3">
      <c r="A146" s="1" t="s">
        <v>182</v>
      </c>
      <c r="B146" s="1" t="s">
        <v>182</v>
      </c>
      <c r="C146" s="1" t="s">
        <v>181</v>
      </c>
      <c r="D146" s="19">
        <v>102</v>
      </c>
      <c r="E146" t="b">
        <v>1</v>
      </c>
    </row>
    <row r="147" spans="1:5" x14ac:dyDescent="0.3">
      <c r="A147" s="1" t="s">
        <v>398</v>
      </c>
      <c r="B147" s="1" t="s">
        <v>398</v>
      </c>
      <c r="C147" s="1" t="s">
        <v>397</v>
      </c>
      <c r="D147" s="19">
        <v>54</v>
      </c>
      <c r="E147" t="b">
        <v>1</v>
      </c>
    </row>
    <row r="148" spans="1:5" x14ac:dyDescent="0.3">
      <c r="A148" s="1" t="s">
        <v>396</v>
      </c>
      <c r="B148" s="1" t="s">
        <v>396</v>
      </c>
      <c r="C148" s="1" t="s">
        <v>178</v>
      </c>
      <c r="D148" s="19">
        <v>102</v>
      </c>
      <c r="E148" t="b">
        <v>1</v>
      </c>
    </row>
    <row r="149" spans="1:5" x14ac:dyDescent="0.3">
      <c r="A149" s="1" t="s">
        <v>176</v>
      </c>
      <c r="B149" s="1" t="s">
        <v>176</v>
      </c>
      <c r="C149" s="1" t="s">
        <v>175</v>
      </c>
      <c r="D149" s="19">
        <v>102</v>
      </c>
      <c r="E149" t="b">
        <v>1</v>
      </c>
    </row>
    <row r="150" spans="1:5" x14ac:dyDescent="0.3">
      <c r="A150" s="1" t="s">
        <v>173</v>
      </c>
      <c r="B150" s="1" t="s">
        <v>173</v>
      </c>
      <c r="C150" s="1" t="s">
        <v>172</v>
      </c>
      <c r="D150" s="19">
        <v>54</v>
      </c>
      <c r="E150" t="b">
        <v>1</v>
      </c>
    </row>
    <row r="151" spans="1:5" x14ac:dyDescent="0.3">
      <c r="A151" s="1" t="s">
        <v>170</v>
      </c>
      <c r="B151" s="1" t="s">
        <v>170</v>
      </c>
      <c r="C151" s="1" t="s">
        <v>169</v>
      </c>
      <c r="D151" s="19">
        <v>102</v>
      </c>
      <c r="E151" t="b">
        <v>1</v>
      </c>
    </row>
    <row r="152" spans="1:5" x14ac:dyDescent="0.3">
      <c r="A152" s="1" t="s">
        <v>395</v>
      </c>
      <c r="B152" s="1" t="s">
        <v>167</v>
      </c>
      <c r="C152" s="1" t="s">
        <v>166</v>
      </c>
      <c r="D152" s="19">
        <v>102</v>
      </c>
      <c r="E152" t="b">
        <v>1</v>
      </c>
    </row>
    <row r="153" spans="1:5" x14ac:dyDescent="0.3">
      <c r="A153" s="1" t="s">
        <v>394</v>
      </c>
      <c r="B153" s="1" t="s">
        <v>164</v>
      </c>
      <c r="C153" s="1" t="s">
        <v>163</v>
      </c>
      <c r="D153" s="19">
        <v>108</v>
      </c>
      <c r="E153" t="b">
        <v>1</v>
      </c>
    </row>
    <row r="154" spans="1:5" x14ac:dyDescent="0.3">
      <c r="A154" s="1" t="s">
        <v>393</v>
      </c>
      <c r="B154" s="1" t="s">
        <v>161</v>
      </c>
      <c r="C154" s="1" t="s">
        <v>160</v>
      </c>
      <c r="D154" s="19">
        <v>102</v>
      </c>
      <c r="E154" t="b">
        <v>1</v>
      </c>
    </row>
    <row r="155" spans="1:5" x14ac:dyDescent="0.3">
      <c r="A155" s="1" t="s">
        <v>392</v>
      </c>
      <c r="B155" s="1" t="s">
        <v>158</v>
      </c>
      <c r="C155" s="1" t="s">
        <v>157</v>
      </c>
      <c r="D155" s="19">
        <v>144</v>
      </c>
      <c r="E155" t="b">
        <v>1</v>
      </c>
    </row>
    <row r="156" spans="1:5" x14ac:dyDescent="0.3">
      <c r="A156" s="1" t="s">
        <v>391</v>
      </c>
      <c r="B156" s="1" t="s">
        <v>155</v>
      </c>
      <c r="C156" s="1" t="s">
        <v>154</v>
      </c>
      <c r="D156" s="19">
        <v>54</v>
      </c>
      <c r="E156" t="b">
        <v>1</v>
      </c>
    </row>
    <row r="157" spans="1:5" x14ac:dyDescent="0.3">
      <c r="A157" s="1" t="s">
        <v>118</v>
      </c>
      <c r="B157" s="1" t="s">
        <v>390</v>
      </c>
      <c r="C157" s="1" t="s">
        <v>389</v>
      </c>
      <c r="D157" s="19">
        <v>1000</v>
      </c>
      <c r="E157" t="b">
        <v>1</v>
      </c>
    </row>
    <row r="158" spans="1:5" x14ac:dyDescent="0.3">
      <c r="A158" s="1" t="s">
        <v>63</v>
      </c>
      <c r="B158" s="1" t="s">
        <v>388</v>
      </c>
      <c r="C158" s="1" t="s">
        <v>387</v>
      </c>
      <c r="D158" s="19">
        <v>1300</v>
      </c>
      <c r="E158" t="b">
        <v>1</v>
      </c>
    </row>
    <row r="159" spans="1:5" x14ac:dyDescent="0.3">
      <c r="A159" s="1" t="s">
        <v>386</v>
      </c>
      <c r="B159" s="1" t="s">
        <v>385</v>
      </c>
      <c r="C159" s="1" t="s">
        <v>384</v>
      </c>
      <c r="D159" s="19">
        <v>800</v>
      </c>
      <c r="E159" t="b">
        <v>1</v>
      </c>
    </row>
    <row r="160" spans="1:5" x14ac:dyDescent="0.3">
      <c r="A160" s="1" t="s">
        <v>383</v>
      </c>
      <c r="B160" s="1" t="s">
        <v>382</v>
      </c>
      <c r="C160" s="1" t="s">
        <v>381</v>
      </c>
      <c r="D160" s="19">
        <v>1200</v>
      </c>
      <c r="E160" t="b">
        <v>1</v>
      </c>
    </row>
    <row r="161" spans="1:5" x14ac:dyDescent="0.3">
      <c r="A161" s="1" t="s">
        <v>380</v>
      </c>
      <c r="B161" s="1" t="s">
        <v>379</v>
      </c>
      <c r="C161" s="1" t="s">
        <v>378</v>
      </c>
      <c r="D161" s="19">
        <v>1100</v>
      </c>
      <c r="E161" t="b">
        <v>1</v>
      </c>
    </row>
    <row r="162" spans="1:5" x14ac:dyDescent="0.3">
      <c r="A162" s="1" t="s">
        <v>377</v>
      </c>
      <c r="B162" s="1" t="s">
        <v>355</v>
      </c>
      <c r="C162" s="1" t="s">
        <v>354</v>
      </c>
      <c r="D162" s="19">
        <v>2070</v>
      </c>
      <c r="E162" t="b">
        <v>1</v>
      </c>
    </row>
    <row r="163" spans="1:5" x14ac:dyDescent="0.3">
      <c r="A163" s="1" t="s">
        <v>114</v>
      </c>
      <c r="B163" s="1" t="s">
        <v>376</v>
      </c>
      <c r="C163" s="1" t="s">
        <v>375</v>
      </c>
      <c r="D163" s="19">
        <v>1020</v>
      </c>
      <c r="E163" t="b">
        <v>1</v>
      </c>
    </row>
    <row r="164" spans="1:5" x14ac:dyDescent="0.3">
      <c r="A164" s="1" t="s">
        <v>46</v>
      </c>
      <c r="B164" s="1" t="s">
        <v>374</v>
      </c>
      <c r="C164" s="1" t="s">
        <v>373</v>
      </c>
      <c r="D164" s="19">
        <v>2460</v>
      </c>
      <c r="E164" t="b">
        <v>1</v>
      </c>
    </row>
    <row r="165" spans="1:5" x14ac:dyDescent="0.3">
      <c r="A165" s="1" t="s">
        <v>128</v>
      </c>
      <c r="B165" s="1" t="s">
        <v>372</v>
      </c>
      <c r="C165" s="1" t="s">
        <v>371</v>
      </c>
      <c r="D165" s="19">
        <v>960</v>
      </c>
      <c r="E165" t="b">
        <v>1</v>
      </c>
    </row>
    <row r="166" spans="1:5" x14ac:dyDescent="0.3">
      <c r="A166" s="1" t="s">
        <v>66</v>
      </c>
      <c r="B166" s="1" t="s">
        <v>370</v>
      </c>
      <c r="C166" s="1" t="s">
        <v>369</v>
      </c>
      <c r="D166" s="19">
        <v>1140</v>
      </c>
      <c r="E166" t="b">
        <v>1</v>
      </c>
    </row>
    <row r="167" spans="1:5" x14ac:dyDescent="0.3">
      <c r="A167" s="1" t="s">
        <v>51</v>
      </c>
      <c r="B167" s="1" t="s">
        <v>368</v>
      </c>
      <c r="C167" s="1" t="s">
        <v>367</v>
      </c>
      <c r="D167" s="19">
        <v>1240</v>
      </c>
      <c r="E167" t="b">
        <v>1</v>
      </c>
    </row>
    <row r="168" spans="1:5" x14ac:dyDescent="0.3">
      <c r="A168" s="1" t="s">
        <v>366</v>
      </c>
      <c r="B168" s="1" t="s">
        <v>365</v>
      </c>
      <c r="C168" s="1" t="s">
        <v>364</v>
      </c>
      <c r="D168" s="19">
        <v>1360</v>
      </c>
      <c r="E168" t="b">
        <v>1</v>
      </c>
    </row>
    <row r="169" spans="1:5" x14ac:dyDescent="0.3">
      <c r="A169" s="1" t="s">
        <v>363</v>
      </c>
      <c r="B169" s="1" t="s">
        <v>362</v>
      </c>
      <c r="C169" s="1" t="s">
        <v>361</v>
      </c>
      <c r="D169" s="19">
        <v>920</v>
      </c>
      <c r="E169" t="b">
        <v>1</v>
      </c>
    </row>
    <row r="170" spans="1:5" x14ac:dyDescent="0.3">
      <c r="A170" s="1" t="s">
        <v>123</v>
      </c>
      <c r="B170" s="1" t="s">
        <v>272</v>
      </c>
      <c r="C170" s="1" t="s">
        <v>271</v>
      </c>
      <c r="D170" s="19">
        <v>2550</v>
      </c>
      <c r="E170" t="b">
        <v>1</v>
      </c>
    </row>
    <row r="171" spans="1:5" x14ac:dyDescent="0.3">
      <c r="A171" s="1" t="s">
        <v>101</v>
      </c>
      <c r="B171" s="1" t="s">
        <v>269</v>
      </c>
      <c r="C171" s="1" t="s">
        <v>268</v>
      </c>
      <c r="D171" s="19">
        <v>2650</v>
      </c>
      <c r="E171" t="b">
        <v>1</v>
      </c>
    </row>
    <row r="172" spans="1:5" x14ac:dyDescent="0.3">
      <c r="A172" s="1" t="s">
        <v>125</v>
      </c>
      <c r="B172" s="1" t="s">
        <v>360</v>
      </c>
      <c r="C172" s="1" t="s">
        <v>359</v>
      </c>
      <c r="D172" s="19">
        <v>6800</v>
      </c>
      <c r="E172" t="b">
        <v>1</v>
      </c>
    </row>
    <row r="173" spans="1:5" x14ac:dyDescent="0.3">
      <c r="A173" s="1" t="s">
        <v>148</v>
      </c>
      <c r="B173" s="1" t="s">
        <v>266</v>
      </c>
      <c r="C173" s="1" t="s">
        <v>265</v>
      </c>
      <c r="D173" s="19">
        <v>1830</v>
      </c>
      <c r="E173" t="b">
        <v>1</v>
      </c>
    </row>
    <row r="174" spans="1:5" x14ac:dyDescent="0.3">
      <c r="A174" s="1" t="s">
        <v>130</v>
      </c>
      <c r="B174" s="1" t="s">
        <v>263</v>
      </c>
      <c r="C174" s="1" t="s">
        <v>262</v>
      </c>
      <c r="D174" s="19">
        <v>1810</v>
      </c>
      <c r="E174" t="b">
        <v>1</v>
      </c>
    </row>
    <row r="175" spans="1:5" x14ac:dyDescent="0.3">
      <c r="A175" s="1" t="s">
        <v>358</v>
      </c>
      <c r="B175" s="1" t="s">
        <v>357</v>
      </c>
      <c r="C175" s="1" t="s">
        <v>356</v>
      </c>
      <c r="D175" s="19">
        <v>2330</v>
      </c>
      <c r="E175" t="b">
        <v>1</v>
      </c>
    </row>
    <row r="176" spans="1:5" x14ac:dyDescent="0.3">
      <c r="A176" s="1" t="s">
        <v>103</v>
      </c>
      <c r="B176" s="1" t="s">
        <v>355</v>
      </c>
      <c r="C176" s="1" t="s">
        <v>354</v>
      </c>
      <c r="D176" s="19">
        <v>2070</v>
      </c>
      <c r="E176" t="b">
        <v>1</v>
      </c>
    </row>
    <row r="177" spans="1:5" x14ac:dyDescent="0.3">
      <c r="A177" s="1" t="s">
        <v>133</v>
      </c>
      <c r="B177" s="1" t="s">
        <v>353</v>
      </c>
      <c r="C177" s="1" t="s">
        <v>352</v>
      </c>
      <c r="D177" s="19">
        <v>3700</v>
      </c>
      <c r="E177" t="b">
        <v>1</v>
      </c>
    </row>
    <row r="178" spans="1:5" x14ac:dyDescent="0.3">
      <c r="A178" s="1" t="s">
        <v>124</v>
      </c>
      <c r="B178" s="1" t="s">
        <v>351</v>
      </c>
      <c r="C178" s="1" t="s">
        <v>350</v>
      </c>
      <c r="D178" s="19">
        <v>2600</v>
      </c>
      <c r="E178" t="b">
        <v>1</v>
      </c>
    </row>
    <row r="179" spans="1:5" x14ac:dyDescent="0.3">
      <c r="A179" s="1" t="s">
        <v>110</v>
      </c>
      <c r="B179" s="1" t="s">
        <v>349</v>
      </c>
      <c r="C179" s="1" t="s">
        <v>348</v>
      </c>
      <c r="D179" s="19">
        <v>2730</v>
      </c>
      <c r="E179" t="b">
        <v>1</v>
      </c>
    </row>
    <row r="180" spans="1:5" x14ac:dyDescent="0.3">
      <c r="A180" s="1" t="s">
        <v>127</v>
      </c>
      <c r="B180" s="1" t="s">
        <v>347</v>
      </c>
      <c r="C180" s="1" t="s">
        <v>346</v>
      </c>
      <c r="D180" s="19">
        <v>3116</v>
      </c>
      <c r="E180" t="b">
        <v>1</v>
      </c>
    </row>
    <row r="181" spans="1:5" x14ac:dyDescent="0.3">
      <c r="A181" s="1" t="s">
        <v>67</v>
      </c>
      <c r="B181" s="1" t="s">
        <v>345</v>
      </c>
      <c r="C181" s="1" t="s">
        <v>344</v>
      </c>
      <c r="D181" s="19">
        <v>1260</v>
      </c>
      <c r="E181" t="b">
        <v>1</v>
      </c>
    </row>
    <row r="182" spans="1:5" x14ac:dyDescent="0.3">
      <c r="A182" s="1" t="s">
        <v>68</v>
      </c>
      <c r="B182" s="1" t="s">
        <v>343</v>
      </c>
      <c r="C182" s="1" t="s">
        <v>342</v>
      </c>
      <c r="D182" s="19">
        <v>2430</v>
      </c>
      <c r="E182" t="b">
        <v>1</v>
      </c>
    </row>
    <row r="183" spans="1:5" x14ac:dyDescent="0.3">
      <c r="A183" s="1" t="s">
        <v>69</v>
      </c>
      <c r="B183" s="1" t="s">
        <v>341</v>
      </c>
      <c r="C183" s="1" t="s">
        <v>340</v>
      </c>
      <c r="D183" s="19">
        <v>1240</v>
      </c>
      <c r="E183" t="b">
        <v>1</v>
      </c>
    </row>
    <row r="184" spans="1:5" x14ac:dyDescent="0.3">
      <c r="A184" s="1" t="s">
        <v>70</v>
      </c>
      <c r="B184" s="1" t="s">
        <v>339</v>
      </c>
      <c r="C184" s="1" t="s">
        <v>338</v>
      </c>
      <c r="D184" s="19">
        <v>1040</v>
      </c>
      <c r="E184" t="b">
        <v>1</v>
      </c>
    </row>
    <row r="185" spans="1:5" x14ac:dyDescent="0.3">
      <c r="A185" s="1" t="s">
        <v>38</v>
      </c>
      <c r="B185" s="1" t="s">
        <v>337</v>
      </c>
      <c r="C185" s="1" t="s">
        <v>336</v>
      </c>
      <c r="D185" s="19">
        <v>1680</v>
      </c>
      <c r="E185" t="b">
        <v>1</v>
      </c>
    </row>
    <row r="186" spans="1:5" x14ac:dyDescent="0.3">
      <c r="A186" s="1" t="s">
        <v>40</v>
      </c>
      <c r="B186" s="1" t="s">
        <v>335</v>
      </c>
      <c r="C186" s="1" t="s">
        <v>334</v>
      </c>
      <c r="D186" s="19">
        <v>640</v>
      </c>
      <c r="E186" t="b">
        <v>1</v>
      </c>
    </row>
    <row r="187" spans="1:5" x14ac:dyDescent="0.3">
      <c r="A187" s="1" t="s">
        <v>42</v>
      </c>
      <c r="B187" s="1" t="s">
        <v>333</v>
      </c>
      <c r="C187" s="1" t="s">
        <v>332</v>
      </c>
      <c r="D187" s="19">
        <v>640</v>
      </c>
      <c r="E187" t="b">
        <v>1</v>
      </c>
    </row>
    <row r="188" spans="1:5" x14ac:dyDescent="0.3">
      <c r="A188" s="1" t="s">
        <v>131</v>
      </c>
      <c r="B188" s="1" t="s">
        <v>331</v>
      </c>
      <c r="C188" s="1" t="s">
        <v>330</v>
      </c>
      <c r="D188" s="19">
        <v>640</v>
      </c>
      <c r="E188" t="b">
        <v>1</v>
      </c>
    </row>
    <row r="189" spans="1:5" x14ac:dyDescent="0.3">
      <c r="A189" s="1" t="s">
        <v>71</v>
      </c>
      <c r="B189" s="1" t="s">
        <v>329</v>
      </c>
      <c r="C189" s="1" t="s">
        <v>328</v>
      </c>
      <c r="D189" s="19">
        <v>640</v>
      </c>
      <c r="E189" t="b">
        <v>1</v>
      </c>
    </row>
    <row r="190" spans="1:5" x14ac:dyDescent="0.3">
      <c r="A190" s="1" t="s">
        <v>106</v>
      </c>
      <c r="B190" s="1" t="s">
        <v>206</v>
      </c>
      <c r="C190" s="1" t="s">
        <v>205</v>
      </c>
      <c r="D190" s="19">
        <v>2350</v>
      </c>
      <c r="E190" t="b">
        <v>1</v>
      </c>
    </row>
    <row r="191" spans="1:5" x14ac:dyDescent="0.3">
      <c r="A191" s="1" t="s">
        <v>100</v>
      </c>
      <c r="B191" s="1" t="s">
        <v>203</v>
      </c>
      <c r="C191" s="1" t="s">
        <v>202</v>
      </c>
      <c r="D191" s="19">
        <v>2410</v>
      </c>
      <c r="E191" t="b">
        <v>1</v>
      </c>
    </row>
    <row r="192" spans="1:5" x14ac:dyDescent="0.3">
      <c r="A192" s="1" t="s">
        <v>149</v>
      </c>
      <c r="B192" s="1" t="s">
        <v>200</v>
      </c>
      <c r="C192" s="1" t="s">
        <v>199</v>
      </c>
      <c r="D192" s="19">
        <v>2200</v>
      </c>
      <c r="E192" t="b">
        <v>1</v>
      </c>
    </row>
    <row r="193" spans="1:5" x14ac:dyDescent="0.3">
      <c r="A193" s="1" t="s">
        <v>327</v>
      </c>
      <c r="B193" s="1" t="s">
        <v>197</v>
      </c>
      <c r="C193" s="1" t="s">
        <v>196</v>
      </c>
      <c r="D193" s="19">
        <v>1905</v>
      </c>
      <c r="E193" t="b">
        <v>1</v>
      </c>
    </row>
    <row r="194" spans="1:5" x14ac:dyDescent="0.3">
      <c r="A194" s="1" t="s">
        <v>43</v>
      </c>
      <c r="B194" s="1" t="s">
        <v>326</v>
      </c>
      <c r="C194" s="1" t="s">
        <v>325</v>
      </c>
      <c r="D194" s="19">
        <v>1505</v>
      </c>
      <c r="E194" t="b">
        <v>1</v>
      </c>
    </row>
    <row r="195" spans="1:5" x14ac:dyDescent="0.3">
      <c r="A195" s="1" t="s">
        <v>132</v>
      </c>
      <c r="B195" s="1" t="s">
        <v>324</v>
      </c>
      <c r="C195" s="1" t="s">
        <v>323</v>
      </c>
      <c r="D195" s="19">
        <v>885</v>
      </c>
      <c r="E195" t="b">
        <v>1</v>
      </c>
    </row>
    <row r="196" spans="1:5" x14ac:dyDescent="0.3">
      <c r="A196" s="1" t="s">
        <v>59</v>
      </c>
      <c r="B196" s="1" t="s">
        <v>322</v>
      </c>
      <c r="C196" s="1" t="s">
        <v>321</v>
      </c>
      <c r="D196" s="19">
        <v>2163</v>
      </c>
      <c r="E196" t="b">
        <v>1</v>
      </c>
    </row>
    <row r="197" spans="1:5" x14ac:dyDescent="0.3">
      <c r="A197" s="1" t="s">
        <v>102</v>
      </c>
      <c r="B197" s="1" t="s">
        <v>320</v>
      </c>
      <c r="C197" s="1" t="s">
        <v>319</v>
      </c>
      <c r="D197" s="19">
        <v>1985</v>
      </c>
      <c r="E197" t="b">
        <v>1</v>
      </c>
    </row>
    <row r="198" spans="1:5" x14ac:dyDescent="0.3">
      <c r="A198" s="1" t="s">
        <v>318</v>
      </c>
      <c r="B198" s="1" t="s">
        <v>317</v>
      </c>
      <c r="C198" s="1" t="s">
        <v>316</v>
      </c>
      <c r="D198" s="19">
        <v>1665</v>
      </c>
      <c r="E198" t="b">
        <v>1</v>
      </c>
    </row>
    <row r="199" spans="1:5" x14ac:dyDescent="0.3">
      <c r="A199" s="1" t="s">
        <v>129</v>
      </c>
      <c r="B199" s="1" t="s">
        <v>315</v>
      </c>
      <c r="C199" s="1" t="s">
        <v>314</v>
      </c>
      <c r="D199" s="19">
        <v>1929</v>
      </c>
      <c r="E199" t="b">
        <v>1</v>
      </c>
    </row>
    <row r="200" spans="1:5" x14ac:dyDescent="0.3">
      <c r="A200" s="1" t="s">
        <v>126</v>
      </c>
      <c r="B200" s="1" t="s">
        <v>313</v>
      </c>
      <c r="C200" s="1" t="s">
        <v>312</v>
      </c>
      <c r="D200" s="19">
        <v>1060</v>
      </c>
      <c r="E200" t="b">
        <v>1</v>
      </c>
    </row>
    <row r="201" spans="1:5" x14ac:dyDescent="0.3">
      <c r="A201" s="1" t="s">
        <v>311</v>
      </c>
      <c r="B201" s="1" t="s">
        <v>310</v>
      </c>
      <c r="C201" s="1" t="s">
        <v>309</v>
      </c>
      <c r="D201" s="19">
        <v>1280</v>
      </c>
      <c r="E201" t="b">
        <v>1</v>
      </c>
    </row>
    <row r="202" spans="1:5" x14ac:dyDescent="0.3">
      <c r="A202" s="1" t="s">
        <v>72</v>
      </c>
      <c r="B202" s="1" t="s">
        <v>308</v>
      </c>
      <c r="C202" s="1" t="s">
        <v>307</v>
      </c>
      <c r="D202" s="19">
        <v>1580</v>
      </c>
      <c r="E202" t="b">
        <v>1</v>
      </c>
    </row>
    <row r="203" spans="1:5" x14ac:dyDescent="0.3">
      <c r="A203" s="1" t="s">
        <v>48</v>
      </c>
      <c r="B203" s="1" t="s">
        <v>306</v>
      </c>
      <c r="C203" s="1" t="s">
        <v>305</v>
      </c>
      <c r="D203" s="19">
        <v>2880</v>
      </c>
      <c r="E203" t="b">
        <v>1</v>
      </c>
    </row>
    <row r="204" spans="1:5" x14ac:dyDescent="0.3">
      <c r="A204" s="1" t="s">
        <v>50</v>
      </c>
      <c r="B204" s="1" t="s">
        <v>304</v>
      </c>
      <c r="C204" s="1" t="s">
        <v>303</v>
      </c>
      <c r="D204" s="19">
        <v>2445</v>
      </c>
      <c r="E204" t="b">
        <v>1</v>
      </c>
    </row>
    <row r="205" spans="1:5" x14ac:dyDescent="0.3">
      <c r="A205" s="1" t="s">
        <v>302</v>
      </c>
      <c r="B205" s="1" t="s">
        <v>302</v>
      </c>
      <c r="C205" s="1" t="s">
        <v>301</v>
      </c>
      <c r="D205" s="19">
        <v>0</v>
      </c>
      <c r="E205" t="b">
        <v>1</v>
      </c>
    </row>
    <row r="206" spans="1:5" x14ac:dyDescent="0.3">
      <c r="A206" s="1" t="s">
        <v>300</v>
      </c>
      <c r="B206" s="1" t="s">
        <v>299</v>
      </c>
      <c r="C206" s="1" t="s">
        <v>298</v>
      </c>
      <c r="D206" s="19">
        <v>197</v>
      </c>
      <c r="E206" t="b">
        <v>1</v>
      </c>
    </row>
    <row r="207" spans="1:5" x14ac:dyDescent="0.3">
      <c r="A207" s="1" t="s">
        <v>297</v>
      </c>
      <c r="B207" s="1" t="s">
        <v>296</v>
      </c>
      <c r="C207" s="1" t="s">
        <v>295</v>
      </c>
      <c r="D207" s="19">
        <v>207</v>
      </c>
      <c r="E207" t="b">
        <v>1</v>
      </c>
    </row>
    <row r="208" spans="1:5" x14ac:dyDescent="0.3">
      <c r="A208" s="1" t="s">
        <v>294</v>
      </c>
      <c r="B208" s="1" t="s">
        <v>293</v>
      </c>
      <c r="C208" s="1" t="s">
        <v>292</v>
      </c>
      <c r="D208" s="19">
        <v>310</v>
      </c>
      <c r="E208" t="b">
        <v>1</v>
      </c>
    </row>
    <row r="209" spans="1:5" x14ac:dyDescent="0.3">
      <c r="A209" s="1" t="s">
        <v>291</v>
      </c>
      <c r="B209" s="1" t="s">
        <v>290</v>
      </c>
      <c r="C209" s="1" t="s">
        <v>289</v>
      </c>
      <c r="D209" s="19">
        <v>80</v>
      </c>
      <c r="E209" t="b">
        <v>1</v>
      </c>
    </row>
    <row r="210" spans="1:5" x14ac:dyDescent="0.3">
      <c r="A210" s="1" t="s">
        <v>288</v>
      </c>
      <c r="B210" s="1" t="s">
        <v>287</v>
      </c>
      <c r="C210" s="1" t="s">
        <v>286</v>
      </c>
      <c r="D210" s="19">
        <v>310</v>
      </c>
      <c r="E210" t="b">
        <v>1</v>
      </c>
    </row>
    <row r="211" spans="1:5" x14ac:dyDescent="0.3">
      <c r="A211" s="1" t="s">
        <v>285</v>
      </c>
      <c r="B211" s="1" t="s">
        <v>284</v>
      </c>
      <c r="C211" s="1" t="s">
        <v>283</v>
      </c>
      <c r="D211" s="19">
        <v>80</v>
      </c>
      <c r="E211" t="b">
        <v>1</v>
      </c>
    </row>
    <row r="212" spans="1:5" x14ac:dyDescent="0.3">
      <c r="A212" s="1" t="s">
        <v>282</v>
      </c>
      <c r="B212" s="1" t="s">
        <v>281</v>
      </c>
      <c r="C212" s="1" t="s">
        <v>280</v>
      </c>
      <c r="D212" s="19">
        <v>260</v>
      </c>
      <c r="E212" t="b">
        <v>1</v>
      </c>
    </row>
    <row r="213" spans="1:5" x14ac:dyDescent="0.3">
      <c r="A213" s="1" t="s">
        <v>279</v>
      </c>
      <c r="B213" s="1" t="s">
        <v>278</v>
      </c>
      <c r="C213" s="1" t="s">
        <v>277</v>
      </c>
      <c r="D213" s="19">
        <v>31590</v>
      </c>
      <c r="E213" t="b">
        <v>1</v>
      </c>
    </row>
    <row r="214" spans="1:5" x14ac:dyDescent="0.3">
      <c r="A214" s="1" t="s">
        <v>276</v>
      </c>
      <c r="B214" s="1" t="s">
        <v>275</v>
      </c>
      <c r="C214" s="1" t="s">
        <v>274</v>
      </c>
      <c r="D214" s="19">
        <v>18410</v>
      </c>
      <c r="E214" t="b">
        <v>1</v>
      </c>
    </row>
    <row r="215" spans="1:5" x14ac:dyDescent="0.3">
      <c r="A215" s="1" t="s">
        <v>273</v>
      </c>
      <c r="B215" s="1" t="s">
        <v>272</v>
      </c>
      <c r="C215" s="1" t="s">
        <v>271</v>
      </c>
      <c r="D215" s="19">
        <v>900</v>
      </c>
      <c r="E215" t="b">
        <v>1</v>
      </c>
    </row>
    <row r="216" spans="1:5" x14ac:dyDescent="0.3">
      <c r="A216" s="1" t="s">
        <v>270</v>
      </c>
      <c r="B216" s="1" t="s">
        <v>269</v>
      </c>
      <c r="C216" s="1" t="s">
        <v>268</v>
      </c>
      <c r="D216" s="19">
        <v>300</v>
      </c>
      <c r="E216" t="b">
        <v>1</v>
      </c>
    </row>
    <row r="217" spans="1:5" x14ac:dyDescent="0.3">
      <c r="A217" s="1" t="s">
        <v>267</v>
      </c>
      <c r="B217" s="1" t="s">
        <v>266</v>
      </c>
      <c r="C217" s="1" t="s">
        <v>265</v>
      </c>
      <c r="D217" s="19">
        <v>900</v>
      </c>
      <c r="E217" t="b">
        <v>1</v>
      </c>
    </row>
    <row r="218" spans="1:5" x14ac:dyDescent="0.3">
      <c r="A218" s="1" t="s">
        <v>264</v>
      </c>
      <c r="B218" s="1" t="s">
        <v>263</v>
      </c>
      <c r="C218" s="1" t="s">
        <v>262</v>
      </c>
      <c r="D218" s="19">
        <v>900</v>
      </c>
      <c r="E218" t="b">
        <v>1</v>
      </c>
    </row>
    <row r="219" spans="1:5" x14ac:dyDescent="0.3">
      <c r="A219" s="1" t="s">
        <v>261</v>
      </c>
      <c r="B219" s="1" t="s">
        <v>260</v>
      </c>
      <c r="C219" s="1" t="s">
        <v>259</v>
      </c>
      <c r="D219" s="19">
        <v>2000</v>
      </c>
      <c r="E219" t="b">
        <v>1</v>
      </c>
    </row>
    <row r="220" spans="1:5" x14ac:dyDescent="0.3">
      <c r="A220" s="1" t="s">
        <v>258</v>
      </c>
      <c r="B220" s="1" t="s">
        <v>257</v>
      </c>
      <c r="C220" s="1" t="s">
        <v>256</v>
      </c>
      <c r="D220" s="19">
        <v>1500</v>
      </c>
      <c r="E220" t="b">
        <v>1</v>
      </c>
    </row>
    <row r="221" spans="1:5" x14ac:dyDescent="0.3">
      <c r="A221" s="1" t="s">
        <v>255</v>
      </c>
      <c r="B221" s="1" t="s">
        <v>254</v>
      </c>
      <c r="C221" s="1" t="s">
        <v>253</v>
      </c>
      <c r="D221" s="19">
        <v>1800</v>
      </c>
      <c r="E221" t="b">
        <v>1</v>
      </c>
    </row>
    <row r="222" spans="1:5" x14ac:dyDescent="0.3">
      <c r="A222" s="1" t="s">
        <v>252</v>
      </c>
      <c r="B222" s="1" t="s">
        <v>251</v>
      </c>
      <c r="C222" s="1" t="s">
        <v>250</v>
      </c>
      <c r="D222" s="19">
        <v>1000</v>
      </c>
      <c r="E222" t="b">
        <v>1</v>
      </c>
    </row>
    <row r="223" spans="1:5" x14ac:dyDescent="0.3">
      <c r="A223" s="1" t="s">
        <v>249</v>
      </c>
      <c r="B223" s="1" t="s">
        <v>248</v>
      </c>
      <c r="C223" s="1" t="s">
        <v>247</v>
      </c>
      <c r="D223" s="19">
        <v>1000</v>
      </c>
      <c r="E223" t="b">
        <v>1</v>
      </c>
    </row>
    <row r="224" spans="1:5" x14ac:dyDescent="0.3">
      <c r="A224" s="1" t="s">
        <v>246</v>
      </c>
      <c r="B224" s="1" t="s">
        <v>245</v>
      </c>
      <c r="C224" s="1" t="s">
        <v>244</v>
      </c>
      <c r="D224" s="19">
        <v>1000</v>
      </c>
      <c r="E224" t="b">
        <v>1</v>
      </c>
    </row>
    <row r="225" spans="1:5" x14ac:dyDescent="0.3">
      <c r="A225" s="1" t="s">
        <v>243</v>
      </c>
      <c r="B225" s="1" t="s">
        <v>242</v>
      </c>
      <c r="C225" s="1" t="s">
        <v>241</v>
      </c>
      <c r="D225" s="19">
        <v>1700</v>
      </c>
      <c r="E225" t="b">
        <v>1</v>
      </c>
    </row>
    <row r="226" spans="1:5" x14ac:dyDescent="0.3">
      <c r="A226" s="1" t="s">
        <v>240</v>
      </c>
      <c r="B226" s="1" t="s">
        <v>239</v>
      </c>
      <c r="C226" s="1" t="s">
        <v>238</v>
      </c>
      <c r="D226" s="19">
        <v>1400</v>
      </c>
      <c r="E226" t="b">
        <v>1</v>
      </c>
    </row>
    <row r="227" spans="1:5" x14ac:dyDescent="0.3">
      <c r="A227" s="1" t="s">
        <v>237</v>
      </c>
      <c r="B227" s="1" t="s">
        <v>236</v>
      </c>
      <c r="C227" s="1" t="s">
        <v>235</v>
      </c>
      <c r="D227" s="19">
        <v>1400</v>
      </c>
      <c r="E227" t="b">
        <v>1</v>
      </c>
    </row>
    <row r="228" spans="1:5" x14ac:dyDescent="0.3">
      <c r="A228" s="1" t="s">
        <v>234</v>
      </c>
      <c r="B228" s="1" t="s">
        <v>233</v>
      </c>
      <c r="C228" s="1" t="s">
        <v>232</v>
      </c>
      <c r="D228" s="19">
        <v>1700</v>
      </c>
      <c r="E228" t="b">
        <v>1</v>
      </c>
    </row>
    <row r="229" spans="1:5" x14ac:dyDescent="0.3">
      <c r="A229" s="1" t="s">
        <v>231</v>
      </c>
      <c r="B229" s="1" t="s">
        <v>230</v>
      </c>
      <c r="C229" s="1" t="s">
        <v>229</v>
      </c>
      <c r="D229" s="19">
        <v>1300</v>
      </c>
      <c r="E229" t="b">
        <v>1</v>
      </c>
    </row>
    <row r="230" spans="1:5" x14ac:dyDescent="0.3">
      <c r="A230" s="1" t="s">
        <v>228</v>
      </c>
      <c r="B230" s="1" t="s">
        <v>227</v>
      </c>
      <c r="C230" s="1" t="s">
        <v>226</v>
      </c>
      <c r="D230" s="19">
        <v>400</v>
      </c>
      <c r="E230" t="b">
        <v>1</v>
      </c>
    </row>
    <row r="231" spans="1:5" x14ac:dyDescent="0.3">
      <c r="A231" s="1" t="s">
        <v>225</v>
      </c>
      <c r="B231" s="1" t="s">
        <v>224</v>
      </c>
      <c r="C231" s="1" t="s">
        <v>223</v>
      </c>
      <c r="D231" s="19">
        <v>600</v>
      </c>
      <c r="E231" t="b">
        <v>1</v>
      </c>
    </row>
    <row r="232" spans="1:5" x14ac:dyDescent="0.3">
      <c r="A232" s="1" t="s">
        <v>222</v>
      </c>
      <c r="B232" s="1" t="s">
        <v>221</v>
      </c>
      <c r="C232" s="1" t="s">
        <v>220</v>
      </c>
      <c r="D232" s="19">
        <v>1600</v>
      </c>
      <c r="E232" t="b">
        <v>1</v>
      </c>
    </row>
    <row r="233" spans="1:5" x14ac:dyDescent="0.3">
      <c r="A233" s="1" t="s">
        <v>219</v>
      </c>
      <c r="B233" s="1" t="s">
        <v>218</v>
      </c>
      <c r="C233" s="1" t="s">
        <v>217</v>
      </c>
      <c r="D233" s="19">
        <v>600</v>
      </c>
      <c r="E233" t="b">
        <v>1</v>
      </c>
    </row>
    <row r="234" spans="1:5" x14ac:dyDescent="0.3">
      <c r="A234" s="1" t="s">
        <v>216</v>
      </c>
      <c r="B234" s="1" t="s">
        <v>215</v>
      </c>
      <c r="C234" s="1" t="s">
        <v>214</v>
      </c>
      <c r="D234" s="19">
        <v>600</v>
      </c>
      <c r="E234" t="b">
        <v>1</v>
      </c>
    </row>
    <row r="235" spans="1:5" x14ac:dyDescent="0.3">
      <c r="A235" s="1" t="s">
        <v>213</v>
      </c>
      <c r="B235" s="1" t="s">
        <v>212</v>
      </c>
      <c r="C235" s="1" t="s">
        <v>211</v>
      </c>
      <c r="D235" s="19">
        <v>600</v>
      </c>
      <c r="E235" t="b">
        <v>1</v>
      </c>
    </row>
    <row r="236" spans="1:5" x14ac:dyDescent="0.3">
      <c r="A236" s="1" t="s">
        <v>210</v>
      </c>
      <c r="B236" s="1" t="s">
        <v>209</v>
      </c>
      <c r="C236" s="1" t="s">
        <v>208</v>
      </c>
      <c r="D236" s="19">
        <v>1100</v>
      </c>
      <c r="E236" t="b">
        <v>1</v>
      </c>
    </row>
    <row r="237" spans="1:5" x14ac:dyDescent="0.3">
      <c r="A237" s="1" t="s">
        <v>207</v>
      </c>
      <c r="B237" s="1" t="s">
        <v>206</v>
      </c>
      <c r="C237" s="1" t="s">
        <v>205</v>
      </c>
      <c r="D237" s="19">
        <v>500</v>
      </c>
      <c r="E237" t="b">
        <v>1</v>
      </c>
    </row>
    <row r="238" spans="1:5" x14ac:dyDescent="0.3">
      <c r="A238" s="1" t="s">
        <v>204</v>
      </c>
      <c r="B238" s="1" t="s">
        <v>203</v>
      </c>
      <c r="C238" s="1" t="s">
        <v>202</v>
      </c>
      <c r="D238" s="19">
        <v>300</v>
      </c>
      <c r="E238" t="b">
        <v>1</v>
      </c>
    </row>
    <row r="239" spans="1:5" x14ac:dyDescent="0.3">
      <c r="A239" s="1" t="s">
        <v>201</v>
      </c>
      <c r="B239" s="1" t="s">
        <v>200</v>
      </c>
      <c r="C239" s="1" t="s">
        <v>199</v>
      </c>
      <c r="D239" s="19">
        <v>600</v>
      </c>
      <c r="E239" t="b">
        <v>1</v>
      </c>
    </row>
    <row r="240" spans="1:5" x14ac:dyDescent="0.3">
      <c r="A240" s="1" t="s">
        <v>198</v>
      </c>
      <c r="B240" s="1" t="s">
        <v>197</v>
      </c>
      <c r="C240" s="1" t="s">
        <v>196</v>
      </c>
      <c r="D240" s="19">
        <v>600</v>
      </c>
      <c r="E240" t="b">
        <v>1</v>
      </c>
    </row>
    <row r="241" spans="1:5" x14ac:dyDescent="0.3">
      <c r="A241" s="1" t="s">
        <v>195</v>
      </c>
      <c r="B241" s="1" t="s">
        <v>194</v>
      </c>
      <c r="C241" s="1" t="s">
        <v>193</v>
      </c>
      <c r="D241" s="19">
        <v>1600</v>
      </c>
      <c r="E241" t="b">
        <v>1</v>
      </c>
    </row>
    <row r="242" spans="1:5" x14ac:dyDescent="0.3">
      <c r="A242" s="1" t="s">
        <v>192</v>
      </c>
      <c r="B242" s="1" t="s">
        <v>191</v>
      </c>
      <c r="C242" s="1" t="s">
        <v>190</v>
      </c>
      <c r="D242" s="19">
        <v>2000</v>
      </c>
      <c r="E242" t="b">
        <v>1</v>
      </c>
    </row>
    <row r="243" spans="1:5" x14ac:dyDescent="0.3">
      <c r="A243" s="1" t="s">
        <v>189</v>
      </c>
      <c r="B243" s="1" t="s">
        <v>188</v>
      </c>
      <c r="C243" s="1" t="s">
        <v>187</v>
      </c>
      <c r="D243" s="19">
        <v>2500</v>
      </c>
      <c r="E243" t="b">
        <v>1</v>
      </c>
    </row>
    <row r="244" spans="1:5" x14ac:dyDescent="0.3">
      <c r="A244" s="1" t="s">
        <v>186</v>
      </c>
      <c r="B244" s="1" t="s">
        <v>185</v>
      </c>
      <c r="C244" s="1" t="s">
        <v>184</v>
      </c>
      <c r="D244" s="19">
        <v>1000</v>
      </c>
      <c r="E244" t="b">
        <v>1</v>
      </c>
    </row>
    <row r="245" spans="1:5" x14ac:dyDescent="0.3">
      <c r="A245" s="1" t="s">
        <v>183</v>
      </c>
      <c r="B245" s="1" t="s">
        <v>182</v>
      </c>
      <c r="C245" s="1" t="s">
        <v>181</v>
      </c>
      <c r="D245" s="19">
        <v>900</v>
      </c>
      <c r="E245" t="b">
        <v>1</v>
      </c>
    </row>
    <row r="246" spans="1:5" x14ac:dyDescent="0.3">
      <c r="A246" s="1" t="s">
        <v>180</v>
      </c>
      <c r="B246" s="1" t="s">
        <v>179</v>
      </c>
      <c r="C246" s="1" t="s">
        <v>178</v>
      </c>
      <c r="D246" s="19">
        <v>1300</v>
      </c>
      <c r="E246" t="b">
        <v>1</v>
      </c>
    </row>
    <row r="247" spans="1:5" x14ac:dyDescent="0.3">
      <c r="A247" s="1" t="s">
        <v>177</v>
      </c>
      <c r="B247" s="1" t="s">
        <v>176</v>
      </c>
      <c r="C247" s="1" t="s">
        <v>175</v>
      </c>
      <c r="D247" s="19">
        <v>1600</v>
      </c>
      <c r="E247" t="b">
        <v>1</v>
      </c>
    </row>
    <row r="248" spans="1:5" x14ac:dyDescent="0.3">
      <c r="A248" s="1" t="s">
        <v>174</v>
      </c>
      <c r="B248" s="1" t="s">
        <v>173</v>
      </c>
      <c r="C248" s="1" t="s">
        <v>172</v>
      </c>
      <c r="D248" s="19">
        <v>1000</v>
      </c>
      <c r="E248" t="b">
        <v>1</v>
      </c>
    </row>
    <row r="249" spans="1:5" x14ac:dyDescent="0.3">
      <c r="A249" s="1" t="s">
        <v>171</v>
      </c>
      <c r="B249" s="1" t="s">
        <v>170</v>
      </c>
      <c r="C249" s="1" t="s">
        <v>169</v>
      </c>
      <c r="D249" s="19">
        <v>1600</v>
      </c>
      <c r="E249" t="b">
        <v>1</v>
      </c>
    </row>
    <row r="250" spans="1:5" x14ac:dyDescent="0.3">
      <c r="A250" s="1" t="s">
        <v>168</v>
      </c>
      <c r="B250" s="1" t="s">
        <v>167</v>
      </c>
      <c r="C250" s="1" t="s">
        <v>166</v>
      </c>
      <c r="D250" s="19">
        <v>1200</v>
      </c>
      <c r="E250" t="b">
        <v>1</v>
      </c>
    </row>
    <row r="251" spans="1:5" x14ac:dyDescent="0.3">
      <c r="A251" s="1" t="s">
        <v>165</v>
      </c>
      <c r="B251" s="1" t="s">
        <v>164</v>
      </c>
      <c r="C251" s="1" t="s">
        <v>163</v>
      </c>
      <c r="D251" s="19">
        <v>1500</v>
      </c>
      <c r="E251" t="b">
        <v>1</v>
      </c>
    </row>
    <row r="252" spans="1:5" x14ac:dyDescent="0.3">
      <c r="A252" s="1" t="s">
        <v>162</v>
      </c>
      <c r="B252" s="1" t="s">
        <v>161</v>
      </c>
      <c r="C252" s="1" t="s">
        <v>160</v>
      </c>
      <c r="D252" s="19">
        <v>1200</v>
      </c>
      <c r="E252" t="b">
        <v>1</v>
      </c>
    </row>
    <row r="253" spans="1:5" x14ac:dyDescent="0.3">
      <c r="A253" s="1" t="s">
        <v>159</v>
      </c>
      <c r="B253" s="1" t="s">
        <v>158</v>
      </c>
      <c r="C253" s="1" t="s">
        <v>157</v>
      </c>
      <c r="D253" s="19">
        <v>1600</v>
      </c>
      <c r="E253" t="b">
        <v>1</v>
      </c>
    </row>
    <row r="254" spans="1:5" x14ac:dyDescent="0.3">
      <c r="A254" s="1" t="s">
        <v>156</v>
      </c>
      <c r="B254" s="1" t="s">
        <v>155</v>
      </c>
      <c r="C254" s="1" t="s">
        <v>154</v>
      </c>
      <c r="D254" s="19">
        <v>1000</v>
      </c>
      <c r="E254" t="b">
        <v>1</v>
      </c>
    </row>
    <row r="255" spans="1:5" x14ac:dyDescent="0.3">
      <c r="A255" s="1" t="s">
        <v>153</v>
      </c>
      <c r="B255" s="1" t="s">
        <v>153</v>
      </c>
      <c r="C255" s="1" t="s">
        <v>152</v>
      </c>
      <c r="D255" s="19">
        <v>1095</v>
      </c>
      <c r="E255" t="b">
        <v>1</v>
      </c>
    </row>
  </sheetData>
  <autoFilter ref="A2:D2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EFB8-E989-4610-9E6B-920CAD1AE06C}">
  <dimension ref="A1"/>
  <sheetViews>
    <sheetView workbookViewId="0">
      <selection activeCell="H25" sqref="H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Unfinished</vt:lpstr>
      <vt:lpstr>OlderDatas</vt:lpstr>
      <vt:lpstr>Not</vt:lpstr>
      <vt:lpstr>Kodlar</vt:lpstr>
      <vt:lpstr>Order no</vt:lpstr>
      <vt:lpstr>Stocker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s.yurtseven</cp:lastModifiedBy>
  <cp:lastPrinted>2022-08-15T10:37:52Z</cp:lastPrinted>
  <dcterms:created xsi:type="dcterms:W3CDTF">2022-08-07T11:45:02Z</dcterms:created>
  <dcterms:modified xsi:type="dcterms:W3CDTF">2022-12-16T07:28:33Z</dcterms:modified>
</cp:coreProperties>
</file>