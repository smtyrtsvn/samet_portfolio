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yurtseven\PycharmProjects\pythonProject\AutoPyxl\"/>
    </mc:Choice>
  </mc:AlternateContent>
  <xr:revisionPtr revIDLastSave="0" documentId="13_ncr:1_{2757819E-EE49-4888-9AF5-ABCE6245C5AE}" xr6:coauthVersionLast="47" xr6:coauthVersionMax="47" xr10:uidLastSave="{00000000-0000-0000-0000-000000000000}"/>
  <bookViews>
    <workbookView xWindow="-108" yWindow="-108" windowWidth="23256" windowHeight="12456" tabRatio="610" xr2:uid="{00000000-000D-0000-FFFF-FFFF00000000}"/>
  </bookViews>
  <sheets>
    <sheet name="West" sheetId="20" r:id="rId1"/>
  </sheets>
  <definedNames>
    <definedName name="_xlnm.Print_Area" localSheetId="0">West!$A$1:$V$74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7" i="20" l="1"/>
  <c r="C37" i="20" s="1"/>
  <c r="A38" i="20" s="1"/>
  <c r="C38" i="20" s="1"/>
  <c r="A39" i="20" s="1"/>
  <c r="C39" i="20" s="1"/>
  <c r="A40" i="20" s="1"/>
  <c r="C40" i="20" s="1"/>
  <c r="A41" i="20" s="1"/>
  <c r="C41" i="20" s="1"/>
  <c r="A42" i="20" s="1"/>
  <c r="C42" i="20" s="1"/>
  <c r="A43" i="20" s="1"/>
  <c r="C43" i="20" s="1"/>
  <c r="A44" i="20" s="1"/>
  <c r="C44" i="20" s="1"/>
  <c r="A45" i="20" s="1"/>
  <c r="C45" i="20" s="1"/>
  <c r="A46" i="20" s="1"/>
  <c r="C46" i="20" s="1"/>
  <c r="A47" i="20" s="1"/>
  <c r="C47" i="20" s="1"/>
  <c r="A48" i="20" s="1"/>
  <c r="C48" i="20" s="1"/>
  <c r="A49" i="20" s="1"/>
  <c r="C49" i="20" s="1"/>
  <c r="A50" i="20" s="1"/>
  <c r="C50" i="20" s="1"/>
  <c r="A51" i="20" s="1"/>
  <c r="C51" i="20" s="1"/>
  <c r="A52" i="20" s="1"/>
  <c r="C52" i="20" s="1"/>
  <c r="A53" i="20" s="1"/>
  <c r="C53" i="20" s="1"/>
  <c r="C36" i="20"/>
  <c r="C14" i="20"/>
  <c r="A15" i="20" s="1"/>
  <c r="C15" i="20" s="1"/>
  <c r="A16" i="20" s="1"/>
  <c r="C16" i="20" s="1"/>
  <c r="A17" i="20" s="1"/>
  <c r="C17" i="20" s="1"/>
  <c r="A18" i="20" s="1"/>
  <c r="C18" i="20" s="1"/>
  <c r="A19" i="20" s="1"/>
  <c r="C19" i="20" s="1"/>
  <c r="A20" i="20" s="1"/>
  <c r="C20" i="20" s="1"/>
  <c r="A21" i="20" s="1"/>
  <c r="C21" i="20" s="1"/>
  <c r="A22" i="20" s="1"/>
  <c r="C22" i="20" s="1"/>
  <c r="A23" i="20" s="1"/>
  <c r="C23" i="20" s="1"/>
  <c r="A24" i="20" s="1"/>
  <c r="C24" i="20" s="1"/>
  <c r="A25" i="20" s="1"/>
  <c r="C25" i="20" s="1"/>
  <c r="A26" i="20" s="1"/>
  <c r="C26" i="20" s="1"/>
  <c r="A27" i="20" s="1"/>
  <c r="C27" i="20" s="1"/>
  <c r="A28" i="20" s="1"/>
  <c r="C28" i="20" s="1"/>
  <c r="A29" i="20" s="1"/>
  <c r="C29" i="20" s="1"/>
  <c r="A30" i="20" s="1"/>
  <c r="C30" i="20" s="1"/>
  <c r="A31" i="20" s="1"/>
  <c r="C31" i="20" s="1"/>
  <c r="R36" i="20" l="1"/>
  <c r="R14" i="20"/>
  <c r="R71" i="20"/>
  <c r="R65" i="20"/>
  <c r="O64" i="20"/>
  <c r="P64" i="20"/>
  <c r="O66" i="20" a="1"/>
  <c r="O66" i="20" s="1"/>
  <c r="O67" i="20" s="1"/>
  <c r="P66" i="20" a="1"/>
  <c r="P66" i="20" s="1"/>
  <c r="P67" i="20" s="1"/>
  <c r="O70" i="20"/>
  <c r="P70" i="20"/>
  <c r="O72" i="20" a="1"/>
  <c r="O72" i="20" s="1"/>
  <c r="O73" i="20" s="1"/>
  <c r="P72" i="20" a="1"/>
  <c r="P72" i="20" s="1"/>
  <c r="P73" i="20" s="1"/>
  <c r="O35" i="20"/>
  <c r="P35" i="20"/>
  <c r="N35" i="20" l="1"/>
  <c r="Q35" i="20"/>
  <c r="N64" i="20"/>
  <c r="Q64" i="20"/>
  <c r="N70" i="20"/>
  <c r="Q70" i="20"/>
  <c r="R38" i="20"/>
  <c r="U38" i="20" s="1"/>
  <c r="R39" i="20"/>
  <c r="R40" i="20"/>
  <c r="R41" i="20"/>
  <c r="R42" i="20"/>
  <c r="R43" i="20"/>
  <c r="U43" i="20" s="1"/>
  <c r="R44" i="20"/>
  <c r="U44" i="20" s="1"/>
  <c r="R45" i="20"/>
  <c r="R46" i="20"/>
  <c r="R47" i="20"/>
  <c r="R48" i="20"/>
  <c r="U48" i="20" s="1"/>
  <c r="R49" i="20"/>
  <c r="U49" i="20"/>
  <c r="R50" i="20"/>
  <c r="R51" i="20"/>
  <c r="R52" i="20"/>
  <c r="U52" i="20"/>
  <c r="R53" i="20"/>
  <c r="U53" i="20" s="1"/>
  <c r="R17" i="20"/>
  <c r="R18" i="20"/>
  <c r="U18" i="20"/>
  <c r="R19" i="20"/>
  <c r="R20" i="20"/>
  <c r="R21" i="20"/>
  <c r="R22" i="20"/>
  <c r="R23" i="20"/>
  <c r="R24" i="20"/>
  <c r="R25" i="20"/>
  <c r="R26" i="20"/>
  <c r="R27" i="20"/>
  <c r="R28" i="20"/>
  <c r="R29" i="20"/>
  <c r="U29" i="20" s="1"/>
  <c r="R30" i="20"/>
  <c r="R31" i="20"/>
  <c r="M35" i="20"/>
  <c r="L35" i="20"/>
  <c r="K35" i="20"/>
  <c r="J35" i="20"/>
  <c r="I35" i="20"/>
  <c r="H35" i="20"/>
  <c r="G35" i="20"/>
  <c r="R37" i="20"/>
  <c r="R16" i="20"/>
  <c r="R15" i="20"/>
  <c r="M70" i="20"/>
  <c r="L70" i="20"/>
  <c r="K70" i="20"/>
  <c r="J70" i="20"/>
  <c r="I70" i="20"/>
  <c r="H70" i="20"/>
  <c r="G70" i="20"/>
  <c r="H64" i="20"/>
  <c r="I64" i="20"/>
  <c r="J64" i="20"/>
  <c r="K64" i="20"/>
  <c r="L64" i="20"/>
  <c r="M64" i="20"/>
  <c r="G64" i="20"/>
  <c r="U41" i="20" l="1"/>
  <c r="U19" i="20"/>
  <c r="U45" i="20"/>
  <c r="U25" i="20"/>
  <c r="U28" i="20"/>
  <c r="U51" i="20"/>
  <c r="U46" i="20"/>
  <c r="U40" i="20"/>
  <c r="U39" i="20"/>
  <c r="U22" i="20"/>
  <c r="U50" i="20"/>
  <c r="U42" i="20"/>
  <c r="U47" i="20"/>
  <c r="U31" i="20"/>
  <c r="U27" i="20"/>
  <c r="U20" i="20"/>
  <c r="U23" i="20"/>
  <c r="U26" i="20"/>
  <c r="U21" i="20"/>
  <c r="U24" i="20"/>
  <c r="U30" i="20"/>
  <c r="U17" i="20"/>
  <c r="E8" i="20"/>
  <c r="N72" i="20" l="1" a="1"/>
  <c r="N72" i="20" s="1"/>
  <c r="N73" i="20" s="1"/>
  <c r="Q72" i="20" a="1"/>
  <c r="Q72" i="20" s="1"/>
  <c r="Q73" i="20" s="1"/>
  <c r="M72" i="20" a="1"/>
  <c r="M72" i="20" s="1"/>
  <c r="J72" i="20" a="1"/>
  <c r="J72" i="20" s="1"/>
  <c r="L72" i="20" a="1"/>
  <c r="L72" i="20" s="1"/>
  <c r="I72" i="20" a="1"/>
  <c r="I72" i="20" s="1"/>
  <c r="K72" i="20" a="1"/>
  <c r="K72" i="20" s="1"/>
  <c r="H72" i="20" a="1"/>
  <c r="H72" i="20" s="1"/>
  <c r="G72" i="20" a="1"/>
  <c r="G72" i="20" s="1"/>
  <c r="R72" i="20" a="1"/>
  <c r="R72" i="20" s="1"/>
  <c r="F60" i="20" s="1"/>
  <c r="U36" i="20"/>
  <c r="U37" i="20"/>
  <c r="T54" i="20"/>
  <c r="T55" i="20" s="1"/>
  <c r="C60" i="20" s="1"/>
  <c r="U16" i="20"/>
  <c r="U15" i="20"/>
  <c r="U54" i="20" l="1"/>
  <c r="Q66" i="20" l="1" a="1"/>
  <c r="Q66" i="20" s="1"/>
  <c r="Q67" i="20" s="1"/>
  <c r="N66" i="20" a="1"/>
  <c r="N66" i="20" s="1"/>
  <c r="N67" i="20" s="1"/>
  <c r="G66" i="20" a="1"/>
  <c r="G66" i="20" s="1"/>
  <c r="G67" i="20" s="1"/>
  <c r="K66" i="20" a="1"/>
  <c r="K66" i="20" s="1"/>
  <c r="K67" i="20" s="1"/>
  <c r="H66" i="20" a="1"/>
  <c r="H66" i="20" s="1"/>
  <c r="H67" i="20" s="1"/>
  <c r="M66" i="20" a="1"/>
  <c r="M66" i="20" s="1"/>
  <c r="M67" i="20" s="1"/>
  <c r="I66" i="20" a="1"/>
  <c r="I66" i="20" s="1"/>
  <c r="I67" i="20" s="1"/>
  <c r="L66" i="20" a="1"/>
  <c r="L66" i="20" s="1"/>
  <c r="L67" i="20" s="1"/>
  <c r="J66" i="20" a="1"/>
  <c r="J66" i="20" s="1"/>
  <c r="J67" i="20" s="1"/>
  <c r="R66" i="20" a="1"/>
  <c r="R66" i="20" s="1"/>
  <c r="U55" i="20"/>
  <c r="R67" i="20" l="1"/>
  <c r="F59" i="20"/>
  <c r="U14" i="20"/>
  <c r="U32" i="20" l="1"/>
  <c r="T32" i="20"/>
  <c r="U33" i="20" l="1"/>
  <c r="E82" i="20" s="1"/>
  <c r="T33" i="20"/>
  <c r="E81" i="20" s="1"/>
  <c r="G73" i="20"/>
  <c r="J73" i="20"/>
  <c r="L73" i="20" l="1"/>
  <c r="G61" i="20"/>
  <c r="E79" i="20" s="1"/>
  <c r="F61" i="20"/>
  <c r="E78" i="20" s="1"/>
  <c r="E60" i="20"/>
  <c r="M73" i="20"/>
  <c r="H73" i="20"/>
  <c r="C59" i="20"/>
  <c r="I73" i="20"/>
  <c r="E10" i="20"/>
  <c r="K73" i="20"/>
  <c r="R73" i="20"/>
  <c r="E59" i="20" l="1"/>
  <c r="E61" i="20" s="1"/>
  <c r="E77" i="2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<sst xmlns="http://schemas.openxmlformats.org/spreadsheetml/2006/main" count="82" uniqueCount="54">
  <si>
    <t>:</t>
  </si>
  <si>
    <t>C/No.</t>
  </si>
  <si>
    <t>Color</t>
  </si>
  <si>
    <t>Code</t>
  </si>
  <si>
    <t>L</t>
  </si>
  <si>
    <t>Qty/Pack</t>
  </si>
  <si>
    <t>asrt/ctn</t>
  </si>
  <si>
    <t>ctn qty</t>
  </si>
  <si>
    <t>Total</t>
  </si>
  <si>
    <t>TOTAL</t>
  </si>
  <si>
    <t>G.W.</t>
  </si>
  <si>
    <t>N.W.</t>
  </si>
  <si>
    <t>Dimension</t>
  </si>
  <si>
    <t>(CM)</t>
  </si>
  <si>
    <t>(KGS)</t>
  </si>
  <si>
    <t>W</t>
  </si>
  <si>
    <t>H</t>
  </si>
  <si>
    <t>-</t>
  </si>
  <si>
    <t xml:space="preserve">TOTAL </t>
  </si>
  <si>
    <t>Color &amp; Sizes Breakdown:</t>
  </si>
  <si>
    <t>Total Gross Weight :</t>
  </si>
  <si>
    <t>KGS</t>
  </si>
  <si>
    <t>Total Net Weight :</t>
  </si>
  <si>
    <t>Dimension :</t>
  </si>
  <si>
    <t>CBM</t>
  </si>
  <si>
    <t>Total Carton:</t>
  </si>
  <si>
    <t>pcs</t>
  </si>
  <si>
    <t>Total Quantity:</t>
  </si>
  <si>
    <t xml:space="preserve">medico order no: </t>
  </si>
  <si>
    <t>medico article no</t>
  </si>
  <si>
    <t>order qty:</t>
  </si>
  <si>
    <t>fabrics</t>
  </si>
  <si>
    <t>carton qty</t>
  </si>
  <si>
    <t>country of origin</t>
  </si>
  <si>
    <t>shipped quantity</t>
  </si>
  <si>
    <t>order quantity</t>
  </si>
  <si>
    <t>variances</t>
  </si>
  <si>
    <t>Turkey</t>
  </si>
  <si>
    <t>PACKING LIST</t>
  </si>
  <si>
    <t>FAT0048</t>
  </si>
  <si>
    <t>769274 MEDICO DROP-1</t>
  </si>
  <si>
    <t>13034-Bright White Linear Label AOP-Light Grey Melange</t>
  </si>
  <si>
    <t>13034-Bright White Linear Label AOP-Light Grey Melange - TUNINGEN AOP crew sweat</t>
  </si>
  <si>
    <t>G13</t>
  </si>
  <si>
    <t>H13</t>
  </si>
  <si>
    <t>I13</t>
  </si>
  <si>
    <t>J13</t>
  </si>
  <si>
    <t>K13</t>
  </si>
  <si>
    <t>L13</t>
  </si>
  <si>
    <t>M13</t>
  </si>
  <si>
    <t>N13</t>
  </si>
  <si>
    <t>O13</t>
  </si>
  <si>
    <t>P13</t>
  </si>
  <si>
    <t>Q13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</si>
</sst>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\ &quot;Pcs&quot;"/>
    <numFmt numFmtId="165" formatCode="General\ &quot;KGS&quot;"/>
    <numFmt numFmtId="166" formatCode="General\ &quot;CBM&quot;"/>
  </numFmts>
  <fonts count="10" x14ac:knownFonts="1">
    <font>
      <sz val="8"/>
      <color indexed="10"/>
      <name val="MS Sans Serif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u/>
      <sz val="18"/>
      <name val="Arial"/>
      <family val="2"/>
    </font>
    <font>
      <b/>
      <sz val="10"/>
      <name val="Arial"/>
      <family val="2"/>
      <charset val="162"/>
    </font>
    <font>
      <sz val="9"/>
      <name val="Arial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8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 pivotButton="1"/>
    <xf numFmtId="0" fontId="2" fillId="0" borderId="0"/>
  </cellStyleXfs>
  <cellXfs count="85">
    <xf numFmtId="0" fontId="0" fillId="0" borderId="0" xfId="0"/>
    <xf numFmtId="0" fontId="2" fillId="0" borderId="0" xfId="0" applyFont="1" applyAlignment="1">
      <alignment vertical="center"/>
    </xf>
    <xf numFmtId="165" fontId="2" fillId="2" borderId="7" xfId="0" applyNumberFormat="1" applyFont="1" applyFill="1" applyBorder="1" applyAlignment="1">
      <alignment horizontal="center" vertical="center" wrapText="1"/>
    </xf>
    <xf numFmtId="165" fontId="6" fillId="2" borderId="7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19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2" xfId="0" quotePrefix="1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  <xf numFmtId="1" fontId="1" fillId="2" borderId="4" xfId="0" applyNumberFormat="1" applyFont="1" applyFill="1" applyBorder="1" applyAlignment="1">
      <alignment horizontal="center" vertical="center"/>
    </xf>
    <xf numFmtId="1" fontId="1" fillId="2" borderId="10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2" fillId="0" borderId="18" xfId="0" quotePrefix="1" applyFont="1" applyBorder="1" applyAlignment="1">
      <alignment horizontal="center" vertical="center"/>
    </xf>
    <xf numFmtId="0" fontId="2" fillId="0" borderId="20" xfId="0" quotePrefix="1" applyFont="1" applyBorder="1" applyAlignment="1">
      <alignment horizontal="center" vertical="center"/>
    </xf>
    <xf numFmtId="0" fontId="2" fillId="0" borderId="21" xfId="0" quotePrefix="1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textRotation="90"/>
    </xf>
    <xf numFmtId="0" fontId="1" fillId="0" borderId="27" xfId="0" applyFont="1" applyBorder="1" applyAlignment="1">
      <alignment horizontal="center" vertical="center" textRotation="90"/>
    </xf>
    <xf numFmtId="0" fontId="1" fillId="0" borderId="28" xfId="0" applyFont="1" applyBorder="1" applyAlignment="1">
      <alignment horizontal="center" vertical="center" textRotation="90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166" fontId="2" fillId="2" borderId="15" xfId="0" applyNumberFormat="1" applyFont="1" applyFill="1" applyBorder="1" applyAlignment="1">
      <alignment horizontal="center" vertical="center"/>
    </xf>
    <xf numFmtId="166" fontId="2" fillId="2" borderId="14" xfId="0" applyNumberFormat="1" applyFont="1" applyFill="1" applyBorder="1" applyAlignment="1">
      <alignment horizontal="center" vertical="center"/>
    </xf>
    <xf numFmtId="166" fontId="2" fillId="2" borderId="16" xfId="0" applyNumberFormat="1" applyFont="1" applyFill="1" applyBorder="1" applyAlignment="1">
      <alignment horizontal="center" vertical="center"/>
    </xf>
  </cellXfs>
  <cellStyles count="2">
    <cellStyle name="Normal" xfId="0" builtinId="0"/>
    <cellStyle name="常规_Herod Packlist_PACKING LIST - 2009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W82"/>
  <sheetViews>
    <sheetView tabSelected="1" zoomScale="55" zoomScaleNormal="55" zoomScaleSheetLayoutView="70" workbookViewId="0">
      <selection sqref="A1:V2"/>
    </sheetView>
  </sheetViews>
  <sheetFormatPr defaultColWidth="12" defaultRowHeight="13.2" x14ac:dyDescent="0.2"/>
  <cols>
    <col min="1" max="1" width="7.85546875" style="1" customWidth="1"/>
    <col min="2" max="2" width="4.140625" style="1" customWidth="1"/>
    <col min="3" max="3" width="9.42578125" style="1" customWidth="1"/>
    <col min="4" max="4" width="2.85546875" style="1" customWidth="1"/>
    <col min="5" max="5" width="34.85546875" style="1" customWidth="1"/>
    <col min="6" max="6" width="11.42578125" style="1" customWidth="1"/>
    <col min="7" max="10" width="10.28515625" style="1" customWidth="1"/>
    <col min="11" max="11" width="11.42578125" style="1" bestFit="1" customWidth="1"/>
    <col min="12" max="12" width="10" style="1" bestFit="1" customWidth="1"/>
    <col min="13" max="13" width="9.140625" style="1" customWidth="1"/>
    <col min="14" max="14" width="11.42578125" style="1" bestFit="1" customWidth="1"/>
    <col min="15" max="17" width="11.42578125" style="1" customWidth="1"/>
    <col min="18" max="18" width="10" style="1" customWidth="1"/>
    <col min="19" max="19" width="10.42578125" style="1" customWidth="1"/>
    <col min="20" max="20" width="11.42578125" style="1" customWidth="1"/>
    <col min="21" max="21" width="9.28515625" style="1" customWidth="1"/>
    <col min="22" max="22" width="9.85546875" style="1" customWidth="1"/>
    <col min="23" max="16384" width="12" style="1"/>
  </cols>
  <sheetData>
    <row r="1" spans="1:23" ht="13.2" customHeight="1" x14ac:dyDescent="0.2">
      <c r="A1" s="60" t="s">
        <v>38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</row>
    <row r="2" spans="1:23" ht="13.2" customHeight="1" x14ac:dyDescent="0.2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</row>
    <row r="4" spans="1:23" x14ac:dyDescent="0.2">
      <c r="S4" s="12"/>
    </row>
    <row r="5" spans="1:23" x14ac:dyDescent="0.2">
      <c r="A5" s="13"/>
      <c r="B5" s="13"/>
      <c r="C5" s="13"/>
      <c r="D5" s="13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5"/>
      <c r="T5" s="16"/>
      <c r="U5" s="13"/>
      <c r="V5" s="13"/>
    </row>
    <row r="6" spans="1:23" x14ac:dyDescent="0.2">
      <c r="A6" s="12" t="s">
        <v>28</v>
      </c>
      <c r="B6" s="12"/>
      <c r="C6" s="12"/>
      <c r="D6" s="12" t="s">
        <v>0</v>
      </c>
      <c r="E6" s="15" t="s">
        <v>40</v>
      </c>
      <c r="F6" s="12"/>
      <c r="I6" s="12"/>
    </row>
    <row r="7" spans="1:23" x14ac:dyDescent="0.2">
      <c r="A7" s="12" t="s">
        <v>29</v>
      </c>
      <c r="B7" s="12"/>
      <c r="C7" s="12"/>
      <c r="D7" s="12" t="s">
        <v>0</v>
      </c>
      <c r="E7" s="15" t="s">
        <v>39</v>
      </c>
      <c r="F7" s="12"/>
      <c r="I7" s="12"/>
    </row>
    <row r="8" spans="1:23" x14ac:dyDescent="0.2">
      <c r="A8" s="12" t="s">
        <v>30</v>
      </c>
      <c r="B8" s="12"/>
      <c r="C8" s="12"/>
      <c r="D8" s="12" t="s">
        <v>0</v>
      </c>
      <c r="E8" s="17">
        <f>R65+R71</f>
        <v>0</v>
      </c>
      <c r="F8" s="12"/>
    </row>
    <row r="9" spans="1:23" x14ac:dyDescent="0.2">
      <c r="A9" s="12" t="s">
        <v>31</v>
      </c>
      <c r="B9" s="12"/>
      <c r="C9" s="12"/>
      <c r="D9" s="12" t="s">
        <v>0</v>
      </c>
      <c r="E9" s="18"/>
      <c r="F9" s="12"/>
      <c r="G9" s="12"/>
    </row>
    <row r="10" spans="1:23" x14ac:dyDescent="0.2">
      <c r="A10" s="12" t="s">
        <v>32</v>
      </c>
      <c r="B10" s="12"/>
      <c r="C10" s="12"/>
      <c r="D10" s="12" t="s">
        <v>0</v>
      </c>
      <c r="E10" s="17">
        <f>T33</f>
        <v>18</v>
      </c>
      <c r="F10" s="12"/>
    </row>
    <row r="11" spans="1:23" x14ac:dyDescent="0.2">
      <c r="A11" s="12" t="s">
        <v>33</v>
      </c>
      <c r="B11" s="12"/>
      <c r="C11" s="12"/>
      <c r="D11" s="15" t="s">
        <v>0</v>
      </c>
      <c r="E11" s="12" t="s">
        <v>37</v>
      </c>
      <c r="F11" s="15"/>
      <c r="G11" s="15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spans="1:23" ht="13.8" thickBot="1" x14ac:dyDescent="0.25"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spans="1:23" x14ac:dyDescent="0.2">
      <c r="A13" s="61" t="s">
        <v>1</v>
      </c>
      <c r="B13" s="62"/>
      <c r="C13" s="63"/>
      <c r="D13" s="19"/>
      <c r="E13" s="19" t="s">
        <v>2</v>
      </c>
      <c r="F13" s="19" t="s">
        <v>3</v>
      </c>
      <c r="G13" s="19" t="s">
        <v>43</v>
      </c>
      <c r="H13" s="19" t="s">
        <v>44</v>
      </c>
      <c r="I13" s="19" t="s">
        <v>45</v>
      </c>
      <c r="J13" s="19" t="s">
        <v>46</v>
      </c>
      <c r="K13" s="19" t="s">
        <v>47</v>
      </c>
      <c r="L13" s="19" t="s">
        <v>48</v>
      </c>
      <c r="M13" s="19" t="s">
        <v>49</v>
      </c>
      <c r="N13" s="19" t="s">
        <v>50</v>
      </c>
      <c r="O13" s="19" t="s">
        <v>51</v>
      </c>
      <c r="P13" s="19" t="s">
        <v>52</v>
      </c>
      <c r="Q13" s="19" t="s">
        <v>53</v>
      </c>
      <c r="R13" s="19" t="s">
        <v>5</v>
      </c>
      <c r="S13" s="19" t="s">
        <v>6</v>
      </c>
      <c r="T13" s="19" t="s">
        <v>7</v>
      </c>
      <c r="U13" s="20" t="s">
        <v>8</v>
      </c>
    </row>
    <row r="14" spans="1:23" ht="16.5" customHeight="1" x14ac:dyDescent="0.2">
      <c r="A14" s="21">
        <v>1</v>
      </c>
      <c r="B14" s="22"/>
      <c r="C14" s="21">
        <f>A14-1+T14</f>
        <v>1</v>
      </c>
      <c r="D14" s="21"/>
      <c r="E14" s="70" t="s">
        <v>41</v>
      </c>
      <c r="F14" s="73"/>
      <c r="G14" s="22"/>
      <c r="H14" s="22"/>
      <c r="I14" s="22"/>
      <c r="J14" s="23"/>
      <c r="K14" s="22"/>
      <c r="L14" s="22"/>
      <c r="M14" s="22"/>
      <c r="N14" s="22"/>
      <c r="O14" s="22"/>
      <c r="P14" s="22"/>
      <c r="Q14" s="22"/>
      <c r="R14" s="24">
        <f>SUM(G14:Q14)</f>
        <v>0</v>
      </c>
      <c r="S14" s="24">
        <v>1</v>
      </c>
      <c r="T14" s="22">
        <v>1</v>
      </c>
      <c r="U14" s="25">
        <f>R14*S14*T14</f>
        <v>0</v>
      </c>
    </row>
    <row r="15" spans="1:23" ht="16.5" customHeight="1" x14ac:dyDescent="0.2">
      <c r="A15" s="21">
        <f>C14+1</f>
        <v>2</v>
      </c>
      <c r="B15" s="22"/>
      <c r="C15" s="21">
        <f t="shared" ref="C15:C31" si="0">A15-1+T15</f>
        <v>2</v>
      </c>
      <c r="D15" s="21"/>
      <c r="E15" s="71"/>
      <c r="F15" s="74"/>
      <c r="G15" s="22"/>
      <c r="H15" s="22"/>
      <c r="I15" s="22"/>
      <c r="J15" s="23"/>
      <c r="K15" s="22"/>
      <c r="L15" s="22"/>
      <c r="M15" s="22"/>
      <c r="N15" s="22"/>
      <c r="O15" s="22"/>
      <c r="P15" s="22"/>
      <c r="Q15" s="22"/>
      <c r="R15" s="24">
        <f t="shared" ref="R15:R31" si="1">SUM(G15:Q15)</f>
        <v>0</v>
      </c>
      <c r="S15" s="24">
        <v>1</v>
      </c>
      <c r="T15" s="22">
        <v>1</v>
      </c>
      <c r="U15" s="25">
        <f t="shared" ref="U15:U31" si="2">R15*S15*T15</f>
        <v>0</v>
      </c>
      <c r="W15" s="15"/>
    </row>
    <row r="16" spans="1:23" ht="16.5" customHeight="1" x14ac:dyDescent="0.2">
      <c r="A16" s="21">
        <f t="shared" ref="A16:A31" si="3">C15+1</f>
        <v>3</v>
      </c>
      <c r="B16" s="22"/>
      <c r="C16" s="21">
        <f t="shared" si="0"/>
        <v>3</v>
      </c>
      <c r="D16" s="21"/>
      <c r="E16" s="71"/>
      <c r="F16" s="74"/>
      <c r="G16" s="22"/>
      <c r="H16" s="22"/>
      <c r="I16" s="22"/>
      <c r="J16" s="23"/>
      <c r="K16" s="22"/>
      <c r="L16" s="22"/>
      <c r="M16" s="22"/>
      <c r="N16" s="22"/>
      <c r="O16" s="22"/>
      <c r="P16" s="22"/>
      <c r="Q16" s="22"/>
      <c r="R16" s="24">
        <f t="shared" si="1"/>
        <v>0</v>
      </c>
      <c r="S16" s="24">
        <v>1</v>
      </c>
      <c r="T16" s="22">
        <v>1</v>
      </c>
      <c r="U16" s="25">
        <f t="shared" si="2"/>
        <v>0</v>
      </c>
      <c r="W16" s="12"/>
    </row>
    <row r="17" spans="1:23" ht="16.5" customHeight="1" x14ac:dyDescent="0.2">
      <c r="A17" s="21">
        <f t="shared" si="3"/>
        <v>4</v>
      </c>
      <c r="B17" s="22"/>
      <c r="C17" s="21">
        <f t="shared" si="0"/>
        <v>4</v>
      </c>
      <c r="D17" s="21"/>
      <c r="E17" s="71"/>
      <c r="F17" s="74"/>
      <c r="G17" s="22"/>
      <c r="H17" s="22"/>
      <c r="I17" s="22"/>
      <c r="J17" s="23"/>
      <c r="K17" s="22"/>
      <c r="L17" s="22"/>
      <c r="M17" s="22"/>
      <c r="N17" s="22"/>
      <c r="O17" s="22"/>
      <c r="P17" s="22"/>
      <c r="Q17" s="22"/>
      <c r="R17" s="24">
        <f t="shared" si="1"/>
        <v>0</v>
      </c>
      <c r="S17" s="24">
        <v>1</v>
      </c>
      <c r="T17" s="22">
        <v>1</v>
      </c>
      <c r="U17" s="25">
        <f t="shared" si="2"/>
        <v>0</v>
      </c>
      <c r="W17" s="12"/>
    </row>
    <row r="18" spans="1:23" ht="16.5" customHeight="1" x14ac:dyDescent="0.2">
      <c r="A18" s="21">
        <f t="shared" si="3"/>
        <v>5</v>
      </c>
      <c r="B18" s="22"/>
      <c r="C18" s="21">
        <f t="shared" si="0"/>
        <v>5</v>
      </c>
      <c r="D18" s="21"/>
      <c r="E18" s="71"/>
      <c r="F18" s="74"/>
      <c r="G18" s="22"/>
      <c r="H18" s="22"/>
      <c r="I18" s="22"/>
      <c r="J18" s="23"/>
      <c r="K18" s="22"/>
      <c r="L18" s="22"/>
      <c r="M18" s="22"/>
      <c r="N18" s="22"/>
      <c r="O18" s="22"/>
      <c r="P18" s="22"/>
      <c r="Q18" s="22"/>
      <c r="R18" s="24">
        <f t="shared" si="1"/>
        <v>0</v>
      </c>
      <c r="S18" s="24">
        <v>1</v>
      </c>
      <c r="T18" s="22">
        <v>1</v>
      </c>
      <c r="U18" s="25">
        <f t="shared" si="2"/>
        <v>0</v>
      </c>
      <c r="W18" s="12"/>
    </row>
    <row r="19" spans="1:23" ht="16.5" customHeight="1" x14ac:dyDescent="0.2">
      <c r="A19" s="21">
        <f t="shared" si="3"/>
        <v>6</v>
      </c>
      <c r="B19" s="22"/>
      <c r="C19" s="21">
        <f t="shared" si="0"/>
        <v>6</v>
      </c>
      <c r="D19" s="21"/>
      <c r="E19" s="71"/>
      <c r="F19" s="74"/>
      <c r="G19" s="22"/>
      <c r="H19" s="22"/>
      <c r="I19" s="22"/>
      <c r="J19" s="23"/>
      <c r="K19" s="22"/>
      <c r="L19" s="22"/>
      <c r="M19" s="22"/>
      <c r="N19" s="22"/>
      <c r="O19" s="22"/>
      <c r="P19" s="22"/>
      <c r="Q19" s="22"/>
      <c r="R19" s="24">
        <f t="shared" si="1"/>
        <v>0</v>
      </c>
      <c r="S19" s="24">
        <v>1</v>
      </c>
      <c r="T19" s="22">
        <v>1</v>
      </c>
      <c r="U19" s="25">
        <f t="shared" si="2"/>
        <v>0</v>
      </c>
    </row>
    <row r="20" spans="1:23" ht="16.5" customHeight="1" x14ac:dyDescent="0.2">
      <c r="A20" s="21">
        <f t="shared" si="3"/>
        <v>7</v>
      </c>
      <c r="B20" s="22"/>
      <c r="C20" s="21">
        <f t="shared" si="0"/>
        <v>7</v>
      </c>
      <c r="D20" s="21"/>
      <c r="E20" s="71"/>
      <c r="F20" s="74"/>
      <c r="G20" s="22"/>
      <c r="H20" s="22"/>
      <c r="I20" s="22"/>
      <c r="J20" s="23"/>
      <c r="K20" s="22"/>
      <c r="L20" s="22"/>
      <c r="M20" s="22"/>
      <c r="N20" s="22"/>
      <c r="O20" s="22"/>
      <c r="P20" s="22"/>
      <c r="Q20" s="22"/>
      <c r="R20" s="24">
        <f t="shared" si="1"/>
        <v>0</v>
      </c>
      <c r="S20" s="24">
        <v>1</v>
      </c>
      <c r="T20" s="22">
        <v>1</v>
      </c>
      <c r="U20" s="25">
        <f t="shared" si="2"/>
        <v>0</v>
      </c>
    </row>
    <row r="21" spans="1:23" ht="16.5" customHeight="1" x14ac:dyDescent="0.2">
      <c r="A21" s="21">
        <f t="shared" si="3"/>
        <v>8</v>
      </c>
      <c r="B21" s="22"/>
      <c r="C21" s="21">
        <f t="shared" si="0"/>
        <v>8</v>
      </c>
      <c r="D21" s="21"/>
      <c r="E21" s="71"/>
      <c r="F21" s="74"/>
      <c r="G21" s="22"/>
      <c r="H21" s="22"/>
      <c r="I21" s="22"/>
      <c r="J21" s="23"/>
      <c r="K21" s="22"/>
      <c r="L21" s="22"/>
      <c r="M21" s="22"/>
      <c r="N21" s="22"/>
      <c r="O21" s="22"/>
      <c r="P21" s="22"/>
      <c r="Q21" s="22"/>
      <c r="R21" s="24">
        <f t="shared" si="1"/>
        <v>0</v>
      </c>
      <c r="S21" s="24">
        <v>1</v>
      </c>
      <c r="T21" s="22">
        <v>1</v>
      </c>
      <c r="U21" s="25">
        <f t="shared" si="2"/>
        <v>0</v>
      </c>
    </row>
    <row r="22" spans="1:23" ht="16.5" customHeight="1" x14ac:dyDescent="0.2">
      <c r="A22" s="21">
        <f t="shared" si="3"/>
        <v>9</v>
      </c>
      <c r="B22" s="22"/>
      <c r="C22" s="21">
        <f t="shared" si="0"/>
        <v>9</v>
      </c>
      <c r="D22" s="21"/>
      <c r="E22" s="71"/>
      <c r="F22" s="74"/>
      <c r="G22" s="22"/>
      <c r="H22" s="22"/>
      <c r="I22" s="22"/>
      <c r="J22" s="23"/>
      <c r="K22" s="22"/>
      <c r="L22" s="22"/>
      <c r="M22" s="22"/>
      <c r="N22" s="22"/>
      <c r="O22" s="22"/>
      <c r="P22" s="22"/>
      <c r="Q22" s="22"/>
      <c r="R22" s="24">
        <f t="shared" si="1"/>
        <v>0</v>
      </c>
      <c r="S22" s="24">
        <v>1</v>
      </c>
      <c r="T22" s="22">
        <v>1</v>
      </c>
      <c r="U22" s="25">
        <f t="shared" si="2"/>
        <v>0</v>
      </c>
    </row>
    <row r="23" spans="1:23" ht="16.5" customHeight="1" x14ac:dyDescent="0.2">
      <c r="A23" s="21">
        <f t="shared" si="3"/>
        <v>10</v>
      </c>
      <c r="B23" s="22"/>
      <c r="C23" s="21">
        <f t="shared" si="0"/>
        <v>10</v>
      </c>
      <c r="D23" s="21"/>
      <c r="E23" s="71"/>
      <c r="F23" s="74"/>
      <c r="G23" s="22"/>
      <c r="H23" s="22"/>
      <c r="I23" s="22"/>
      <c r="J23" s="23"/>
      <c r="K23" s="22"/>
      <c r="L23" s="22"/>
      <c r="M23" s="22"/>
      <c r="N23" s="22"/>
      <c r="O23" s="22"/>
      <c r="P23" s="22"/>
      <c r="Q23" s="22"/>
      <c r="R23" s="24">
        <f t="shared" si="1"/>
        <v>0</v>
      </c>
      <c r="S23" s="24">
        <v>1</v>
      </c>
      <c r="T23" s="22">
        <v>1</v>
      </c>
      <c r="U23" s="25">
        <f t="shared" si="2"/>
        <v>0</v>
      </c>
    </row>
    <row r="24" spans="1:23" ht="16.5" customHeight="1" x14ac:dyDescent="0.2">
      <c r="A24" s="21">
        <f t="shared" si="3"/>
        <v>11</v>
      </c>
      <c r="B24" s="22"/>
      <c r="C24" s="21">
        <f t="shared" si="0"/>
        <v>11</v>
      </c>
      <c r="D24" s="21"/>
      <c r="E24" s="71"/>
      <c r="F24" s="74"/>
      <c r="G24" s="22"/>
      <c r="H24" s="22"/>
      <c r="I24" s="22"/>
      <c r="J24" s="23"/>
      <c r="K24" s="22"/>
      <c r="L24" s="22"/>
      <c r="M24" s="22"/>
      <c r="N24" s="22"/>
      <c r="O24" s="22"/>
      <c r="P24" s="22"/>
      <c r="Q24" s="22"/>
      <c r="R24" s="24">
        <f t="shared" si="1"/>
        <v>0</v>
      </c>
      <c r="S24" s="24">
        <v>1</v>
      </c>
      <c r="T24" s="22">
        <v>1</v>
      </c>
      <c r="U24" s="25">
        <f t="shared" si="2"/>
        <v>0</v>
      </c>
    </row>
    <row r="25" spans="1:23" ht="16.5" customHeight="1" x14ac:dyDescent="0.2">
      <c r="A25" s="21">
        <f t="shared" si="3"/>
        <v>12</v>
      </c>
      <c r="B25" s="22"/>
      <c r="C25" s="21">
        <f t="shared" si="0"/>
        <v>12</v>
      </c>
      <c r="D25" s="21"/>
      <c r="E25" s="71"/>
      <c r="F25" s="74"/>
      <c r="G25" s="22"/>
      <c r="H25" s="22"/>
      <c r="I25" s="22"/>
      <c r="J25" s="23"/>
      <c r="K25" s="22"/>
      <c r="L25" s="22"/>
      <c r="M25" s="22"/>
      <c r="N25" s="22"/>
      <c r="O25" s="22"/>
      <c r="P25" s="22"/>
      <c r="Q25" s="22"/>
      <c r="R25" s="24">
        <f t="shared" si="1"/>
        <v>0</v>
      </c>
      <c r="S25" s="24">
        <v>1</v>
      </c>
      <c r="T25" s="22">
        <v>1</v>
      </c>
      <c r="U25" s="25">
        <f t="shared" si="2"/>
        <v>0</v>
      </c>
      <c r="W25" s="12"/>
    </row>
    <row r="26" spans="1:23" ht="16.5" customHeight="1" x14ac:dyDescent="0.2">
      <c r="A26" s="21">
        <f t="shared" si="3"/>
        <v>13</v>
      </c>
      <c r="B26" s="22"/>
      <c r="C26" s="21">
        <f t="shared" si="0"/>
        <v>13</v>
      </c>
      <c r="D26" s="21"/>
      <c r="E26" s="71"/>
      <c r="F26" s="74"/>
      <c r="G26" s="22"/>
      <c r="H26" s="22"/>
      <c r="I26" s="22"/>
      <c r="J26" s="23"/>
      <c r="K26" s="22"/>
      <c r="L26" s="22"/>
      <c r="M26" s="22"/>
      <c r="N26" s="22"/>
      <c r="O26" s="22"/>
      <c r="P26" s="22"/>
      <c r="Q26" s="22"/>
      <c r="R26" s="24">
        <f t="shared" si="1"/>
        <v>0</v>
      </c>
      <c r="S26" s="24">
        <v>1</v>
      </c>
      <c r="T26" s="22">
        <v>1</v>
      </c>
      <c r="U26" s="25">
        <f t="shared" si="2"/>
        <v>0</v>
      </c>
    </row>
    <row r="27" spans="1:23" ht="16.5" customHeight="1" x14ac:dyDescent="0.2">
      <c r="A27" s="21">
        <f t="shared" si="3"/>
        <v>14</v>
      </c>
      <c r="B27" s="22"/>
      <c r="C27" s="21">
        <f t="shared" si="0"/>
        <v>14</v>
      </c>
      <c r="D27" s="21"/>
      <c r="E27" s="71"/>
      <c r="F27" s="74"/>
      <c r="G27" s="22"/>
      <c r="H27" s="22"/>
      <c r="I27" s="22"/>
      <c r="J27" s="23"/>
      <c r="K27" s="22"/>
      <c r="L27" s="22"/>
      <c r="M27" s="22"/>
      <c r="N27" s="22"/>
      <c r="O27" s="22"/>
      <c r="P27" s="22"/>
      <c r="Q27" s="22"/>
      <c r="R27" s="24">
        <f t="shared" si="1"/>
        <v>0</v>
      </c>
      <c r="S27" s="24">
        <v>1</v>
      </c>
      <c r="T27" s="22">
        <v>1</v>
      </c>
      <c r="U27" s="25">
        <f t="shared" si="2"/>
        <v>0</v>
      </c>
    </row>
    <row r="28" spans="1:23" ht="16.5" customHeight="1" x14ac:dyDescent="0.2">
      <c r="A28" s="21">
        <f t="shared" si="3"/>
        <v>15</v>
      </c>
      <c r="B28" s="22"/>
      <c r="C28" s="21">
        <f t="shared" si="0"/>
        <v>15</v>
      </c>
      <c r="D28" s="21"/>
      <c r="E28" s="71"/>
      <c r="F28" s="74"/>
      <c r="G28" s="22"/>
      <c r="H28" s="22"/>
      <c r="I28" s="22"/>
      <c r="J28" s="23"/>
      <c r="K28" s="22"/>
      <c r="L28" s="22"/>
      <c r="M28" s="22"/>
      <c r="N28" s="22"/>
      <c r="O28" s="22"/>
      <c r="P28" s="22"/>
      <c r="Q28" s="22"/>
      <c r="R28" s="24">
        <f t="shared" si="1"/>
        <v>0</v>
      </c>
      <c r="S28" s="24">
        <v>1</v>
      </c>
      <c r="T28" s="22">
        <v>1</v>
      </c>
      <c r="U28" s="25">
        <f t="shared" si="2"/>
        <v>0</v>
      </c>
    </row>
    <row r="29" spans="1:23" ht="16.5" customHeight="1" x14ac:dyDescent="0.2">
      <c r="A29" s="21">
        <f t="shared" si="3"/>
        <v>16</v>
      </c>
      <c r="B29" s="22"/>
      <c r="C29" s="21">
        <f t="shared" si="0"/>
        <v>16</v>
      </c>
      <c r="D29" s="21"/>
      <c r="E29" s="71"/>
      <c r="F29" s="74"/>
      <c r="G29" s="22"/>
      <c r="H29" s="22"/>
      <c r="I29" s="22"/>
      <c r="J29" s="23"/>
      <c r="K29" s="22"/>
      <c r="L29" s="22"/>
      <c r="M29" s="22"/>
      <c r="N29" s="22"/>
      <c r="O29" s="22"/>
      <c r="P29" s="22"/>
      <c r="Q29" s="22"/>
      <c r="R29" s="24">
        <f t="shared" si="1"/>
        <v>0</v>
      </c>
      <c r="S29" s="24">
        <v>1</v>
      </c>
      <c r="T29" s="22">
        <v>1</v>
      </c>
      <c r="U29" s="25">
        <f t="shared" si="2"/>
        <v>0</v>
      </c>
    </row>
    <row r="30" spans="1:23" ht="16.5" customHeight="1" x14ac:dyDescent="0.2">
      <c r="A30" s="21">
        <f t="shared" si="3"/>
        <v>17</v>
      </c>
      <c r="B30" s="22"/>
      <c r="C30" s="21">
        <f t="shared" si="0"/>
        <v>17</v>
      </c>
      <c r="D30" s="21"/>
      <c r="E30" s="71"/>
      <c r="F30" s="74"/>
      <c r="G30" s="22"/>
      <c r="H30" s="22"/>
      <c r="I30" s="22"/>
      <c r="J30" s="23"/>
      <c r="K30" s="22"/>
      <c r="L30" s="22"/>
      <c r="M30" s="22"/>
      <c r="N30" s="22"/>
      <c r="O30" s="22"/>
      <c r="P30" s="22"/>
      <c r="Q30" s="22"/>
      <c r="R30" s="24">
        <f t="shared" si="1"/>
        <v>0</v>
      </c>
      <c r="S30" s="24">
        <v>1</v>
      </c>
      <c r="T30" s="22">
        <v>1</v>
      </c>
      <c r="U30" s="25">
        <f t="shared" si="2"/>
        <v>0</v>
      </c>
    </row>
    <row r="31" spans="1:23" ht="16.5" customHeight="1" x14ac:dyDescent="0.2">
      <c r="A31" s="21">
        <f t="shared" si="3"/>
        <v>18</v>
      </c>
      <c r="B31" s="22"/>
      <c r="C31" s="21">
        <f t="shared" si="0"/>
        <v>18</v>
      </c>
      <c r="D31" s="21"/>
      <c r="E31" s="71"/>
      <c r="F31" s="74"/>
      <c r="G31" s="22"/>
      <c r="H31" s="22"/>
      <c r="I31" s="22"/>
      <c r="J31" s="23"/>
      <c r="K31" s="22"/>
      <c r="L31" s="22"/>
      <c r="M31" s="22"/>
      <c r="N31" s="22"/>
      <c r="O31" s="22"/>
      <c r="P31" s="22"/>
      <c r="Q31" s="22"/>
      <c r="R31" s="24">
        <f t="shared" si="1"/>
        <v>0</v>
      </c>
      <c r="S31" s="24">
        <v>1</v>
      </c>
      <c r="T31" s="22">
        <v>1</v>
      </c>
      <c r="U31" s="25">
        <f t="shared" si="2"/>
        <v>0</v>
      </c>
    </row>
    <row r="32" spans="1:23" ht="15" customHeight="1" x14ac:dyDescent="0.2">
      <c r="A32" s="67"/>
      <c r="B32" s="68"/>
      <c r="C32" s="69"/>
      <c r="D32" s="26"/>
      <c r="E32" s="72"/>
      <c r="F32" s="75"/>
      <c r="G32" s="76" t="s">
        <v>9</v>
      </c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8"/>
      <c r="T32" s="22">
        <f>SUM(T14:T31)</f>
        <v>18</v>
      </c>
      <c r="U32" s="25">
        <f>SUM(U14:U31)</f>
        <v>0</v>
      </c>
    </row>
    <row r="33" spans="1:23" ht="13.5" customHeight="1" thickBot="1" x14ac:dyDescent="0.25">
      <c r="A33" s="64" t="s">
        <v>9</v>
      </c>
      <c r="B33" s="65"/>
      <c r="C33" s="66"/>
      <c r="D33" s="10"/>
      <c r="E33" s="10"/>
      <c r="F33" s="9"/>
      <c r="G33" s="8"/>
      <c r="H33" s="8"/>
      <c r="I33" s="8"/>
      <c r="J33" s="11"/>
      <c r="K33" s="8"/>
      <c r="L33" s="8"/>
      <c r="M33" s="8"/>
      <c r="N33" s="11"/>
      <c r="O33" s="11"/>
      <c r="P33" s="11"/>
      <c r="Q33" s="11"/>
      <c r="R33" s="8"/>
      <c r="S33" s="8"/>
      <c r="T33" s="38">
        <f>+T32</f>
        <v>18</v>
      </c>
      <c r="U33" s="39">
        <f>+U32</f>
        <v>0</v>
      </c>
    </row>
    <row r="34" spans="1:23" ht="13.8" thickBot="1" x14ac:dyDescent="0.25"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 spans="1:23" x14ac:dyDescent="0.2">
      <c r="A35" s="61" t="s">
        <v>1</v>
      </c>
      <c r="B35" s="62"/>
      <c r="C35" s="63"/>
      <c r="D35" s="19"/>
      <c r="E35" s="19" t="s">
        <v>2</v>
      </c>
      <c r="F35" s="19" t="s">
        <v>3</v>
      </c>
      <c r="G35" s="19" t="str">
        <f t="shared" ref="G35:M35" si="4">G13</f>
        <v>G13</v>
      </c>
      <c r="H35" s="19" t="str">
        <f t="shared" si="4"/>
        <v>H13</v>
      </c>
      <c r="I35" s="19" t="str">
        <f t="shared" si="4"/>
        <v>I13</v>
      </c>
      <c r="J35" s="19" t="str">
        <f t="shared" si="4"/>
        <v>J13</v>
      </c>
      <c r="K35" s="19" t="str">
        <f t="shared" si="4"/>
        <v>K13</v>
      </c>
      <c r="L35" s="19" t="str">
        <f t="shared" si="4"/>
        <v>L13</v>
      </c>
      <c r="M35" s="19" t="str">
        <f t="shared" si="4"/>
        <v>M13</v>
      </c>
      <c r="N35" s="19" t="str">
        <f t="shared" ref="N35:Q35" si="5">N13</f>
        <v>N13</v>
      </c>
      <c r="O35" s="19" t="str">
        <f t="shared" si="5"/>
        <v>O13</v>
      </c>
      <c r="P35" s="19" t="str">
        <f t="shared" si="5"/>
        <v>P13</v>
      </c>
      <c r="Q35" s="19" t="str">
        <f t="shared" si="5"/>
        <v>Q13</v>
      </c>
      <c r="R35" s="19" t="s">
        <v>5</v>
      </c>
      <c r="S35" s="19" t="s">
        <v>6</v>
      </c>
      <c r="T35" s="19" t="s">
        <v>7</v>
      </c>
      <c r="U35" s="20" t="s">
        <v>8</v>
      </c>
    </row>
    <row r="36" spans="1:23" ht="16.5" customHeight="1" x14ac:dyDescent="0.2">
      <c r="A36" s="21">
        <v>1</v>
      </c>
      <c r="B36" s="22"/>
      <c r="C36" s="21">
        <f>A36-1+T36</f>
        <v>1</v>
      </c>
      <c r="D36" s="21"/>
      <c r="E36" s="70" t="s">
        <v>41</v>
      </c>
      <c r="F36" s="73"/>
      <c r="G36" s="22"/>
      <c r="H36" s="22"/>
      <c r="I36" s="22"/>
      <c r="J36" s="23"/>
      <c r="K36" s="22"/>
      <c r="L36" s="22"/>
      <c r="M36" s="22"/>
      <c r="N36" s="22"/>
      <c r="O36" s="22"/>
      <c r="P36" s="22"/>
      <c r="Q36" s="22"/>
      <c r="R36" s="24">
        <f>SUM(G36:Q36)</f>
        <v>0</v>
      </c>
      <c r="S36" s="24">
        <v>1</v>
      </c>
      <c r="T36" s="22">
        <v>1</v>
      </c>
      <c r="U36" s="25">
        <f>R36*S36*T36</f>
        <v>0</v>
      </c>
    </row>
    <row r="37" spans="1:23" ht="16.5" customHeight="1" x14ac:dyDescent="0.2">
      <c r="A37" s="21">
        <f>C36+1</f>
        <v>2</v>
      </c>
      <c r="B37" s="22"/>
      <c r="C37" s="21">
        <f t="shared" ref="C37:C53" si="6">A37-1+T37</f>
        <v>2</v>
      </c>
      <c r="D37" s="21"/>
      <c r="E37" s="71"/>
      <c r="F37" s="74"/>
      <c r="G37" s="22"/>
      <c r="H37" s="22"/>
      <c r="I37" s="22"/>
      <c r="J37" s="23"/>
      <c r="K37" s="22"/>
      <c r="L37" s="22"/>
      <c r="M37" s="22"/>
      <c r="N37" s="22"/>
      <c r="O37" s="22"/>
      <c r="P37" s="22"/>
      <c r="Q37" s="22"/>
      <c r="R37" s="24">
        <f t="shared" ref="R37:R53" si="7">SUM(G37:Q37)</f>
        <v>0</v>
      </c>
      <c r="S37" s="24">
        <v>1</v>
      </c>
      <c r="T37" s="22">
        <v>1</v>
      </c>
      <c r="U37" s="25">
        <f t="shared" ref="U37:U53" si="8">R37*S37*T37</f>
        <v>0</v>
      </c>
      <c r="W37" s="15"/>
    </row>
    <row r="38" spans="1:23" ht="16.5" customHeight="1" x14ac:dyDescent="0.2">
      <c r="A38" s="21">
        <f t="shared" ref="A38:A53" si="9">C37+1</f>
        <v>3</v>
      </c>
      <c r="B38" s="22"/>
      <c r="C38" s="21">
        <f t="shared" si="6"/>
        <v>3</v>
      </c>
      <c r="D38" s="21"/>
      <c r="E38" s="71"/>
      <c r="F38" s="74"/>
      <c r="G38" s="22"/>
      <c r="H38" s="22"/>
      <c r="I38" s="22"/>
      <c r="J38" s="23"/>
      <c r="K38" s="22"/>
      <c r="L38" s="22"/>
      <c r="M38" s="22"/>
      <c r="N38" s="22"/>
      <c r="O38" s="22"/>
      <c r="P38" s="22"/>
      <c r="Q38" s="22"/>
      <c r="R38" s="24">
        <f t="shared" si="7"/>
        <v>0</v>
      </c>
      <c r="S38" s="24">
        <v>1</v>
      </c>
      <c r="T38" s="22">
        <v>1</v>
      </c>
      <c r="U38" s="25">
        <f t="shared" si="8"/>
        <v>0</v>
      </c>
      <c r="W38" s="12"/>
    </row>
    <row r="39" spans="1:23" ht="16.5" customHeight="1" x14ac:dyDescent="0.2">
      <c r="A39" s="21">
        <f t="shared" si="9"/>
        <v>4</v>
      </c>
      <c r="B39" s="22"/>
      <c r="C39" s="21">
        <f t="shared" si="6"/>
        <v>4</v>
      </c>
      <c r="D39" s="21"/>
      <c r="E39" s="71"/>
      <c r="F39" s="74"/>
      <c r="G39" s="22"/>
      <c r="H39" s="22"/>
      <c r="I39" s="22"/>
      <c r="J39" s="23"/>
      <c r="K39" s="22"/>
      <c r="L39" s="22"/>
      <c r="M39" s="22"/>
      <c r="N39" s="22"/>
      <c r="O39" s="22"/>
      <c r="P39" s="22"/>
      <c r="Q39" s="22"/>
      <c r="R39" s="24">
        <f t="shared" si="7"/>
        <v>0</v>
      </c>
      <c r="S39" s="24">
        <v>1</v>
      </c>
      <c r="T39" s="22">
        <v>1</v>
      </c>
      <c r="U39" s="25">
        <f t="shared" si="8"/>
        <v>0</v>
      </c>
      <c r="W39" s="12"/>
    </row>
    <row r="40" spans="1:23" ht="16.5" customHeight="1" x14ac:dyDescent="0.2">
      <c r="A40" s="21">
        <f t="shared" si="9"/>
        <v>5</v>
      </c>
      <c r="B40" s="22"/>
      <c r="C40" s="21">
        <f t="shared" si="6"/>
        <v>5</v>
      </c>
      <c r="D40" s="21"/>
      <c r="E40" s="71"/>
      <c r="F40" s="74"/>
      <c r="G40" s="22"/>
      <c r="H40" s="22"/>
      <c r="I40" s="22"/>
      <c r="J40" s="23"/>
      <c r="K40" s="22"/>
      <c r="L40" s="22"/>
      <c r="M40" s="22"/>
      <c r="N40" s="22"/>
      <c r="O40" s="22"/>
      <c r="P40" s="22"/>
      <c r="Q40" s="22"/>
      <c r="R40" s="24">
        <f t="shared" si="7"/>
        <v>0</v>
      </c>
      <c r="S40" s="24">
        <v>1</v>
      </c>
      <c r="T40" s="22">
        <v>1</v>
      </c>
      <c r="U40" s="25">
        <f t="shared" si="8"/>
        <v>0</v>
      </c>
      <c r="W40" s="12"/>
    </row>
    <row r="41" spans="1:23" ht="16.5" customHeight="1" x14ac:dyDescent="0.2">
      <c r="A41" s="21">
        <f t="shared" si="9"/>
        <v>6</v>
      </c>
      <c r="B41" s="22"/>
      <c r="C41" s="21">
        <f t="shared" si="6"/>
        <v>6</v>
      </c>
      <c r="D41" s="21"/>
      <c r="E41" s="71"/>
      <c r="F41" s="74"/>
      <c r="G41" s="22"/>
      <c r="H41" s="22"/>
      <c r="I41" s="22"/>
      <c r="J41" s="23"/>
      <c r="K41" s="22"/>
      <c r="L41" s="22"/>
      <c r="M41" s="22"/>
      <c r="N41" s="22"/>
      <c r="O41" s="22"/>
      <c r="P41" s="22"/>
      <c r="Q41" s="22"/>
      <c r="R41" s="24">
        <f t="shared" si="7"/>
        <v>0</v>
      </c>
      <c r="S41" s="24">
        <v>1</v>
      </c>
      <c r="T41" s="22">
        <v>1</v>
      </c>
      <c r="U41" s="25">
        <f t="shared" si="8"/>
        <v>0</v>
      </c>
    </row>
    <row r="42" spans="1:23" ht="16.5" customHeight="1" x14ac:dyDescent="0.2">
      <c r="A42" s="21">
        <f t="shared" si="9"/>
        <v>7</v>
      </c>
      <c r="B42" s="22"/>
      <c r="C42" s="21">
        <f t="shared" si="6"/>
        <v>7</v>
      </c>
      <c r="D42" s="21"/>
      <c r="E42" s="71"/>
      <c r="F42" s="74"/>
      <c r="G42" s="22"/>
      <c r="H42" s="22"/>
      <c r="I42" s="22"/>
      <c r="J42" s="23"/>
      <c r="K42" s="22"/>
      <c r="L42" s="22"/>
      <c r="M42" s="22"/>
      <c r="N42" s="22"/>
      <c r="O42" s="22"/>
      <c r="P42" s="22"/>
      <c r="Q42" s="22"/>
      <c r="R42" s="24">
        <f t="shared" si="7"/>
        <v>0</v>
      </c>
      <c r="S42" s="24">
        <v>1</v>
      </c>
      <c r="T42" s="22">
        <v>1</v>
      </c>
      <c r="U42" s="25">
        <f t="shared" si="8"/>
        <v>0</v>
      </c>
    </row>
    <row r="43" spans="1:23" ht="16.5" customHeight="1" x14ac:dyDescent="0.2">
      <c r="A43" s="21">
        <f t="shared" si="9"/>
        <v>8</v>
      </c>
      <c r="B43" s="22"/>
      <c r="C43" s="21">
        <f t="shared" si="6"/>
        <v>8</v>
      </c>
      <c r="D43" s="21"/>
      <c r="E43" s="71"/>
      <c r="F43" s="74"/>
      <c r="G43" s="22"/>
      <c r="H43" s="22"/>
      <c r="I43" s="22"/>
      <c r="J43" s="23"/>
      <c r="K43" s="22"/>
      <c r="L43" s="22"/>
      <c r="M43" s="22"/>
      <c r="N43" s="22"/>
      <c r="O43" s="22"/>
      <c r="P43" s="22"/>
      <c r="Q43" s="22"/>
      <c r="R43" s="24">
        <f t="shared" si="7"/>
        <v>0</v>
      </c>
      <c r="S43" s="24">
        <v>1</v>
      </c>
      <c r="T43" s="22">
        <v>1</v>
      </c>
      <c r="U43" s="25">
        <f t="shared" si="8"/>
        <v>0</v>
      </c>
    </row>
    <row r="44" spans="1:23" ht="16.5" customHeight="1" x14ac:dyDescent="0.2">
      <c r="A44" s="21">
        <f t="shared" si="9"/>
        <v>9</v>
      </c>
      <c r="B44" s="22"/>
      <c r="C44" s="21">
        <f t="shared" si="6"/>
        <v>9</v>
      </c>
      <c r="D44" s="21"/>
      <c r="E44" s="71"/>
      <c r="F44" s="74"/>
      <c r="G44" s="22"/>
      <c r="H44" s="22"/>
      <c r="I44" s="22"/>
      <c r="J44" s="23"/>
      <c r="K44" s="22"/>
      <c r="L44" s="22"/>
      <c r="M44" s="22"/>
      <c r="N44" s="22"/>
      <c r="O44" s="22"/>
      <c r="P44" s="22"/>
      <c r="Q44" s="22"/>
      <c r="R44" s="24">
        <f t="shared" si="7"/>
        <v>0</v>
      </c>
      <c r="S44" s="24">
        <v>1</v>
      </c>
      <c r="T44" s="22">
        <v>1</v>
      </c>
      <c r="U44" s="25">
        <f t="shared" si="8"/>
        <v>0</v>
      </c>
    </row>
    <row r="45" spans="1:23" ht="16.5" customHeight="1" x14ac:dyDescent="0.2">
      <c r="A45" s="21">
        <f t="shared" si="9"/>
        <v>10</v>
      </c>
      <c r="B45" s="22"/>
      <c r="C45" s="21">
        <f t="shared" si="6"/>
        <v>10</v>
      </c>
      <c r="D45" s="21"/>
      <c r="E45" s="71"/>
      <c r="F45" s="74"/>
      <c r="G45" s="22"/>
      <c r="H45" s="22"/>
      <c r="I45" s="22"/>
      <c r="J45" s="23"/>
      <c r="K45" s="22"/>
      <c r="L45" s="22"/>
      <c r="M45" s="22"/>
      <c r="N45" s="22"/>
      <c r="O45" s="22"/>
      <c r="P45" s="22"/>
      <c r="Q45" s="22"/>
      <c r="R45" s="24">
        <f t="shared" si="7"/>
        <v>0</v>
      </c>
      <c r="S45" s="24">
        <v>1</v>
      </c>
      <c r="T45" s="22">
        <v>1</v>
      </c>
      <c r="U45" s="25">
        <f t="shared" si="8"/>
        <v>0</v>
      </c>
    </row>
    <row r="46" spans="1:23" ht="16.5" customHeight="1" x14ac:dyDescent="0.2">
      <c r="A46" s="21">
        <f t="shared" si="9"/>
        <v>11</v>
      </c>
      <c r="B46" s="22"/>
      <c r="C46" s="21">
        <f t="shared" si="6"/>
        <v>11</v>
      </c>
      <c r="D46" s="21"/>
      <c r="E46" s="71"/>
      <c r="F46" s="74"/>
      <c r="G46" s="22"/>
      <c r="H46" s="22"/>
      <c r="I46" s="22"/>
      <c r="J46" s="23"/>
      <c r="K46" s="22"/>
      <c r="L46" s="22"/>
      <c r="M46" s="22"/>
      <c r="N46" s="22"/>
      <c r="O46" s="22"/>
      <c r="P46" s="22"/>
      <c r="Q46" s="22"/>
      <c r="R46" s="24">
        <f t="shared" si="7"/>
        <v>0</v>
      </c>
      <c r="S46" s="24">
        <v>1</v>
      </c>
      <c r="T46" s="22">
        <v>1</v>
      </c>
      <c r="U46" s="25">
        <f t="shared" si="8"/>
        <v>0</v>
      </c>
    </row>
    <row r="47" spans="1:23" ht="16.5" customHeight="1" x14ac:dyDescent="0.2">
      <c r="A47" s="21">
        <f t="shared" si="9"/>
        <v>12</v>
      </c>
      <c r="B47" s="22"/>
      <c r="C47" s="21">
        <f t="shared" si="6"/>
        <v>12</v>
      </c>
      <c r="D47" s="21"/>
      <c r="E47" s="71"/>
      <c r="F47" s="74"/>
      <c r="G47" s="22"/>
      <c r="H47" s="22"/>
      <c r="I47" s="22"/>
      <c r="J47" s="23"/>
      <c r="K47" s="22"/>
      <c r="L47" s="22"/>
      <c r="M47" s="22"/>
      <c r="N47" s="22"/>
      <c r="O47" s="22"/>
      <c r="P47" s="22"/>
      <c r="Q47" s="22"/>
      <c r="R47" s="24">
        <f t="shared" si="7"/>
        <v>0</v>
      </c>
      <c r="S47" s="24">
        <v>1</v>
      </c>
      <c r="T47" s="22">
        <v>1</v>
      </c>
      <c r="U47" s="25">
        <f t="shared" si="8"/>
        <v>0</v>
      </c>
      <c r="W47" s="12"/>
    </row>
    <row r="48" spans="1:23" ht="16.5" customHeight="1" x14ac:dyDescent="0.2">
      <c r="A48" s="21">
        <f t="shared" si="9"/>
        <v>13</v>
      </c>
      <c r="B48" s="22"/>
      <c r="C48" s="21">
        <f t="shared" si="6"/>
        <v>13</v>
      </c>
      <c r="D48" s="21"/>
      <c r="E48" s="71"/>
      <c r="F48" s="74"/>
      <c r="G48" s="22"/>
      <c r="H48" s="22"/>
      <c r="I48" s="22"/>
      <c r="J48" s="23"/>
      <c r="K48" s="22"/>
      <c r="L48" s="22"/>
      <c r="M48" s="22"/>
      <c r="N48" s="22"/>
      <c r="O48" s="22"/>
      <c r="P48" s="22"/>
      <c r="Q48" s="22"/>
      <c r="R48" s="24">
        <f t="shared" si="7"/>
        <v>0</v>
      </c>
      <c r="S48" s="24">
        <v>1</v>
      </c>
      <c r="T48" s="22">
        <v>1</v>
      </c>
      <c r="U48" s="25">
        <f t="shared" si="8"/>
        <v>0</v>
      </c>
    </row>
    <row r="49" spans="1:21" ht="16.5" customHeight="1" x14ac:dyDescent="0.2">
      <c r="A49" s="21">
        <f t="shared" si="9"/>
        <v>14</v>
      </c>
      <c r="B49" s="22"/>
      <c r="C49" s="21">
        <f t="shared" si="6"/>
        <v>14</v>
      </c>
      <c r="D49" s="21"/>
      <c r="E49" s="71"/>
      <c r="F49" s="74"/>
      <c r="G49" s="22"/>
      <c r="H49" s="22"/>
      <c r="I49" s="22"/>
      <c r="J49" s="23"/>
      <c r="K49" s="22"/>
      <c r="L49" s="22"/>
      <c r="M49" s="22"/>
      <c r="N49" s="22"/>
      <c r="O49" s="22"/>
      <c r="P49" s="22"/>
      <c r="Q49" s="22"/>
      <c r="R49" s="24">
        <f t="shared" si="7"/>
        <v>0</v>
      </c>
      <c r="S49" s="24">
        <v>1</v>
      </c>
      <c r="T49" s="22">
        <v>1</v>
      </c>
      <c r="U49" s="25">
        <f t="shared" si="8"/>
        <v>0</v>
      </c>
    </row>
    <row r="50" spans="1:21" ht="16.5" customHeight="1" x14ac:dyDescent="0.2">
      <c r="A50" s="21">
        <f t="shared" si="9"/>
        <v>15</v>
      </c>
      <c r="B50" s="22"/>
      <c r="C50" s="21">
        <f t="shared" si="6"/>
        <v>15</v>
      </c>
      <c r="D50" s="21"/>
      <c r="E50" s="71"/>
      <c r="F50" s="74"/>
      <c r="G50" s="22"/>
      <c r="H50" s="22"/>
      <c r="I50" s="22"/>
      <c r="J50" s="23"/>
      <c r="K50" s="22"/>
      <c r="L50" s="22"/>
      <c r="M50" s="22"/>
      <c r="N50" s="22"/>
      <c r="O50" s="22"/>
      <c r="P50" s="22"/>
      <c r="Q50" s="22"/>
      <c r="R50" s="24">
        <f t="shared" si="7"/>
        <v>0</v>
      </c>
      <c r="S50" s="24">
        <v>1</v>
      </c>
      <c r="T50" s="22">
        <v>1</v>
      </c>
      <c r="U50" s="25">
        <f t="shared" si="8"/>
        <v>0</v>
      </c>
    </row>
    <row r="51" spans="1:21" ht="16.5" customHeight="1" x14ac:dyDescent="0.2">
      <c r="A51" s="21">
        <f t="shared" si="9"/>
        <v>16</v>
      </c>
      <c r="B51" s="22"/>
      <c r="C51" s="21">
        <f t="shared" si="6"/>
        <v>16</v>
      </c>
      <c r="D51" s="21"/>
      <c r="E51" s="71"/>
      <c r="F51" s="74"/>
      <c r="G51" s="22"/>
      <c r="H51" s="22"/>
      <c r="I51" s="22"/>
      <c r="J51" s="23"/>
      <c r="K51" s="22"/>
      <c r="L51" s="22"/>
      <c r="M51" s="22"/>
      <c r="N51" s="22"/>
      <c r="O51" s="22"/>
      <c r="P51" s="22"/>
      <c r="Q51" s="22"/>
      <c r="R51" s="24">
        <f t="shared" si="7"/>
        <v>0</v>
      </c>
      <c r="S51" s="24">
        <v>1</v>
      </c>
      <c r="T51" s="22">
        <v>1</v>
      </c>
      <c r="U51" s="25">
        <f t="shared" si="8"/>
        <v>0</v>
      </c>
    </row>
    <row r="52" spans="1:21" ht="16.5" customHeight="1" x14ac:dyDescent="0.2">
      <c r="A52" s="21">
        <f t="shared" si="9"/>
        <v>17</v>
      </c>
      <c r="B52" s="22"/>
      <c r="C52" s="21">
        <f t="shared" si="6"/>
        <v>17</v>
      </c>
      <c r="D52" s="21"/>
      <c r="E52" s="71"/>
      <c r="F52" s="74"/>
      <c r="G52" s="22"/>
      <c r="H52" s="22"/>
      <c r="I52" s="22"/>
      <c r="J52" s="23"/>
      <c r="K52" s="22"/>
      <c r="L52" s="22"/>
      <c r="M52" s="22"/>
      <c r="N52" s="22"/>
      <c r="O52" s="22"/>
      <c r="P52" s="22"/>
      <c r="Q52" s="22"/>
      <c r="R52" s="24">
        <f t="shared" si="7"/>
        <v>0</v>
      </c>
      <c r="S52" s="24">
        <v>1</v>
      </c>
      <c r="T52" s="22">
        <v>1</v>
      </c>
      <c r="U52" s="25">
        <f t="shared" si="8"/>
        <v>0</v>
      </c>
    </row>
    <row r="53" spans="1:21" ht="16.5" customHeight="1" x14ac:dyDescent="0.2">
      <c r="A53" s="21">
        <f t="shared" si="9"/>
        <v>18</v>
      </c>
      <c r="B53" s="22"/>
      <c r="C53" s="21">
        <f t="shared" si="6"/>
        <v>18</v>
      </c>
      <c r="D53" s="21"/>
      <c r="E53" s="71"/>
      <c r="F53" s="74"/>
      <c r="G53" s="22"/>
      <c r="H53" s="22"/>
      <c r="I53" s="22"/>
      <c r="J53" s="23"/>
      <c r="K53" s="22"/>
      <c r="L53" s="22"/>
      <c r="M53" s="22"/>
      <c r="N53" s="22"/>
      <c r="O53" s="22"/>
      <c r="P53" s="22"/>
      <c r="Q53" s="22"/>
      <c r="R53" s="24">
        <f t="shared" si="7"/>
        <v>0</v>
      </c>
      <c r="S53" s="24">
        <v>1</v>
      </c>
      <c r="T53" s="22">
        <v>1</v>
      </c>
      <c r="U53" s="25">
        <f t="shared" si="8"/>
        <v>0</v>
      </c>
    </row>
    <row r="54" spans="1:21" ht="15" customHeight="1" x14ac:dyDescent="0.2">
      <c r="A54" s="67"/>
      <c r="B54" s="68"/>
      <c r="C54" s="69"/>
      <c r="D54" s="26"/>
      <c r="E54" s="72"/>
      <c r="F54" s="75"/>
      <c r="G54" s="76" t="s">
        <v>9</v>
      </c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8"/>
      <c r="T54" s="22">
        <f>SUM(T36:T53)</f>
        <v>18</v>
      </c>
      <c r="U54" s="25">
        <f>SUM(U36:U53)</f>
        <v>0</v>
      </c>
    </row>
    <row r="55" spans="1:21" ht="13.5" customHeight="1" thickBot="1" x14ac:dyDescent="0.25">
      <c r="A55" s="64" t="s">
        <v>9</v>
      </c>
      <c r="B55" s="65"/>
      <c r="C55" s="66"/>
      <c r="D55" s="10"/>
      <c r="E55" s="10"/>
      <c r="F55" s="9"/>
      <c r="G55" s="8"/>
      <c r="H55" s="8"/>
      <c r="I55" s="8"/>
      <c r="J55" s="11"/>
      <c r="K55" s="8"/>
      <c r="L55" s="8"/>
      <c r="M55" s="8"/>
      <c r="N55" s="11"/>
      <c r="O55" s="11"/>
      <c r="P55" s="11"/>
      <c r="Q55" s="11"/>
      <c r="R55" s="8"/>
      <c r="S55" s="8"/>
      <c r="T55" s="38">
        <f>+T54</f>
        <v>18</v>
      </c>
      <c r="U55" s="39">
        <f>+U54</f>
        <v>0</v>
      </c>
    </row>
    <row r="56" spans="1:21" ht="17.25" customHeight="1" x14ac:dyDescent="0.2"/>
    <row r="57" spans="1:21" ht="13.5" customHeight="1" x14ac:dyDescent="0.2">
      <c r="E57" s="1" t="s">
        <v>10</v>
      </c>
      <c r="F57" s="1" t="s">
        <v>11</v>
      </c>
      <c r="G57" s="1" t="s">
        <v>12</v>
      </c>
      <c r="I57" s="1" t="s">
        <v>13</v>
      </c>
    </row>
    <row r="58" spans="1:21" ht="13.8" thickBot="1" x14ac:dyDescent="0.25">
      <c r="A58" s="1" t="s">
        <v>1</v>
      </c>
      <c r="E58" s="1" t="s">
        <v>14</v>
      </c>
      <c r="F58" s="1" t="s">
        <v>14</v>
      </c>
      <c r="G58" s="1" t="s">
        <v>4</v>
      </c>
      <c r="H58" s="1" t="s">
        <v>15</v>
      </c>
      <c r="I58" s="1" t="s">
        <v>16</v>
      </c>
      <c r="U58" s="12"/>
    </row>
    <row r="59" spans="1:21" ht="13.5" customHeight="1" thickBot="1" x14ac:dyDescent="0.25">
      <c r="A59" s="27">
        <v>1</v>
      </c>
      <c r="B59" s="28" t="s">
        <v>17</v>
      </c>
      <c r="C59" s="29">
        <f>T33</f>
        <v>18</v>
      </c>
      <c r="D59" s="29"/>
      <c r="E59" s="28">
        <f>+C59*0.5+F59</f>
        <v>9</v>
      </c>
      <c r="F59" s="28">
        <f>R66*0.3</f>
        <v>0</v>
      </c>
      <c r="G59" s="28">
        <v>60</v>
      </c>
      <c r="H59" s="28">
        <v>40</v>
      </c>
      <c r="I59" s="30">
        <v>40</v>
      </c>
      <c r="K59" s="12"/>
    </row>
    <row r="60" spans="1:21" ht="13.5" customHeight="1" thickBot="1" x14ac:dyDescent="0.25">
      <c r="A60" s="27">
        <v>1</v>
      </c>
      <c r="B60" s="28" t="s">
        <v>17</v>
      </c>
      <c r="C60" s="29">
        <f>T55</f>
        <v>18</v>
      </c>
      <c r="D60" s="29"/>
      <c r="E60" s="28">
        <f>+C60*0.5+F60</f>
        <v>9</v>
      </c>
      <c r="F60" s="28">
        <f>R72*0.3</f>
        <v>0</v>
      </c>
      <c r="G60" s="28">
        <v>60</v>
      </c>
      <c r="H60" s="28">
        <v>40</v>
      </c>
      <c r="I60" s="30">
        <v>40</v>
      </c>
      <c r="K60" s="12"/>
    </row>
    <row r="61" spans="1:21" ht="22.2" customHeight="1" thickBot="1" x14ac:dyDescent="0.25">
      <c r="A61" s="79" t="s">
        <v>18</v>
      </c>
      <c r="B61" s="80"/>
      <c r="C61" s="80"/>
      <c r="D61" s="81"/>
      <c r="E61" s="2">
        <f>SUM(E59:E60)</f>
        <v>18</v>
      </c>
      <c r="F61" s="3">
        <f>SUM(F59:F60)</f>
        <v>0</v>
      </c>
      <c r="G61" s="82">
        <f>(G59*H59*I59*E81/1000000)</f>
        <v>3.456</v>
      </c>
      <c r="H61" s="83"/>
      <c r="I61" s="84"/>
    </row>
    <row r="62" spans="1:21" ht="13.95" customHeight="1" x14ac:dyDescent="0.2">
      <c r="A62" s="4"/>
      <c r="B62" s="4"/>
      <c r="C62" s="4"/>
      <c r="D62" s="4"/>
      <c r="E62" s="5"/>
      <c r="F62" s="6"/>
      <c r="G62" s="7"/>
      <c r="H62" s="7"/>
      <c r="I62" s="7"/>
    </row>
    <row r="63" spans="1:21" ht="13.8" thickBot="1" x14ac:dyDescent="0.25">
      <c r="A63" s="12" t="s">
        <v>19</v>
      </c>
    </row>
    <row r="64" spans="1:21" ht="32.4" customHeight="1" x14ac:dyDescent="0.2">
      <c r="A64" s="51" t="s">
        <v>42</v>
      </c>
      <c r="B64" s="52"/>
      <c r="C64" s="52"/>
      <c r="D64" s="52"/>
      <c r="E64" s="53"/>
      <c r="F64" s="47"/>
      <c r="G64" s="41" t="str">
        <f>G$13</f>
        <v>G13</v>
      </c>
      <c r="H64" s="41" t="str">
        <f t="shared" ref="H64:Q64" si="10">H$13</f>
        <v>H13</v>
      </c>
      <c r="I64" s="41" t="str">
        <f t="shared" si="10"/>
        <v>I13</v>
      </c>
      <c r="J64" s="41" t="str">
        <f t="shared" si="10"/>
        <v>J13</v>
      </c>
      <c r="K64" s="41" t="str">
        <f t="shared" si="10"/>
        <v>K13</v>
      </c>
      <c r="L64" s="41" t="str">
        <f t="shared" si="10"/>
        <v>L13</v>
      </c>
      <c r="M64" s="41" t="str">
        <f t="shared" si="10"/>
        <v>M13</v>
      </c>
      <c r="N64" s="41" t="str">
        <f t="shared" si="10"/>
        <v>N13</v>
      </c>
      <c r="O64" s="41" t="str">
        <f t="shared" si="10"/>
        <v>O13</v>
      </c>
      <c r="P64" s="41" t="str">
        <f t="shared" si="10"/>
        <v>P13</v>
      </c>
      <c r="Q64" s="41" t="str">
        <f t="shared" si="10"/>
        <v>Q13</v>
      </c>
      <c r="R64" s="42" t="s">
        <v>8</v>
      </c>
    </row>
    <row r="65" spans="1:20" ht="14.4" x14ac:dyDescent="0.2">
      <c r="A65" s="54" t="s">
        <v>35</v>
      </c>
      <c r="B65" s="55"/>
      <c r="C65" s="56"/>
      <c r="D65" s="31"/>
      <c r="E65" s="32"/>
      <c r="F65" s="48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6"/>
      <c r="R65" s="43">
        <f>SUM(G65:Q65)</f>
        <v>0</v>
      </c>
      <c r="T65" s="12"/>
    </row>
    <row r="66" spans="1:20" ht="14.4" x14ac:dyDescent="0.2">
      <c r="A66" s="54" t="s">
        <v>34</v>
      </c>
      <c r="B66" s="55"/>
      <c r="C66" s="56"/>
      <c r="D66" s="31"/>
      <c r="E66" s="32"/>
      <c r="F66" s="48"/>
      <c r="G66" s="40" cm="1">
        <f t="array" ref="G66">SUM(G14:G31*$S14:$S31*$T14:$T31)</f>
        <v>0</v>
      </c>
      <c r="H66" s="40" cm="1">
        <f t="array" ref="H66">SUM(H14:H31*$S14:$S31*$T14:$T31)</f>
        <v>0</v>
      </c>
      <c r="I66" s="40" cm="1">
        <f t="array" ref="I66">SUM(I14:I31*$S14:$S31*$T14:$T31)</f>
        <v>0</v>
      </c>
      <c r="J66" s="40" cm="1">
        <f t="array" ref="J66">SUM(J14:J31*$S14:$S31*$T14:$T31)</f>
        <v>0</v>
      </c>
      <c r="K66" s="40" cm="1">
        <f t="array" ref="K66">SUM(K14:K31*$S14:$S31*$T14:$T31)</f>
        <v>0</v>
      </c>
      <c r="L66" s="40" cm="1">
        <f t="array" ref="L66">SUM(L14:L31*$S14:$S31*$T14:$T31)</f>
        <v>0</v>
      </c>
      <c r="M66" s="40" cm="1">
        <f t="array" ref="M66">SUM(M14:M31*$S14:$S31*$T14:$T31)</f>
        <v>0</v>
      </c>
      <c r="N66" s="40" cm="1">
        <f t="array" ref="N66">SUM(N14:N31*$S14:$S31*$T14:$T31)</f>
        <v>0</v>
      </c>
      <c r="O66" s="40" cm="1">
        <f t="array" ref="O66">SUM(O14:O31*$S14:$S31*$T14:$T31)</f>
        <v>0</v>
      </c>
      <c r="P66" s="40" cm="1">
        <f t="array" ref="P66">SUM(P14:P31*$S14:$S31*$T14:$T31)</f>
        <v>0</v>
      </c>
      <c r="Q66" s="40" cm="1">
        <f t="array" ref="Q66">SUM(Q14:Q31*$S14:$S31*$T14:$T31)</f>
        <v>0</v>
      </c>
      <c r="R66" s="43" cm="1">
        <f t="array" ref="R66">SUM(R14:R31*$S14:$S31*$T14:$T31)</f>
        <v>0</v>
      </c>
    </row>
    <row r="67" spans="1:20" ht="15" thickBot="1" x14ac:dyDescent="0.25">
      <c r="A67" s="57" t="s">
        <v>36</v>
      </c>
      <c r="B67" s="58"/>
      <c r="C67" s="59"/>
      <c r="D67" s="33"/>
      <c r="E67" s="34"/>
      <c r="F67" s="49"/>
      <c r="G67" s="44">
        <f>G66-G65</f>
        <v>0</v>
      </c>
      <c r="H67" s="44">
        <f t="shared" ref="H67:N67" si="11">H66-H65</f>
        <v>0</v>
      </c>
      <c r="I67" s="44">
        <f t="shared" si="11"/>
        <v>0</v>
      </c>
      <c r="J67" s="44">
        <f t="shared" si="11"/>
        <v>0</v>
      </c>
      <c r="K67" s="44">
        <f>K66-K65</f>
        <v>0</v>
      </c>
      <c r="L67" s="44">
        <f t="shared" si="11"/>
        <v>0</v>
      </c>
      <c r="M67" s="44">
        <f t="shared" si="11"/>
        <v>0</v>
      </c>
      <c r="N67" s="44">
        <f t="shared" si="11"/>
        <v>0</v>
      </c>
      <c r="O67" s="44">
        <f t="shared" ref="O67:P67" si="12">O66-O65</f>
        <v>0</v>
      </c>
      <c r="P67" s="44">
        <f t="shared" si="12"/>
        <v>0</v>
      </c>
      <c r="Q67" s="44">
        <f>Q66-Q65</f>
        <v>0</v>
      </c>
      <c r="R67" s="45">
        <f>R66-R65</f>
        <v>0</v>
      </c>
    </row>
    <row r="68" spans="1:20" ht="13.95" customHeight="1" x14ac:dyDescent="0.2">
      <c r="A68" s="4"/>
      <c r="B68" s="4"/>
      <c r="C68" s="4"/>
      <c r="D68" s="4"/>
      <c r="E68" s="5"/>
      <c r="F68" s="50"/>
      <c r="G68" s="13"/>
      <c r="H68" s="13"/>
      <c r="I68" s="13"/>
    </row>
    <row r="69" spans="1:20" ht="13.8" thickBot="1" x14ac:dyDescent="0.25">
      <c r="A69" s="12" t="s">
        <v>19</v>
      </c>
    </row>
    <row r="70" spans="1:20" ht="32.4" customHeight="1" x14ac:dyDescent="0.2">
      <c r="A70" s="51" t="s">
        <v>42</v>
      </c>
      <c r="B70" s="52"/>
      <c r="C70" s="52"/>
      <c r="D70" s="52"/>
      <c r="E70" s="53"/>
      <c r="F70" s="47"/>
      <c r="G70" s="41" t="str">
        <f>G$13</f>
        <v>G13</v>
      </c>
      <c r="H70" s="41" t="str">
        <f t="shared" ref="H70:Q70" si="13">H$13</f>
        <v>H13</v>
      </c>
      <c r="I70" s="41" t="str">
        <f t="shared" si="13"/>
        <v>I13</v>
      </c>
      <c r="J70" s="41" t="str">
        <f t="shared" si="13"/>
        <v>J13</v>
      </c>
      <c r="K70" s="41" t="str">
        <f t="shared" si="13"/>
        <v>K13</v>
      </c>
      <c r="L70" s="41" t="str">
        <f t="shared" si="13"/>
        <v>L13</v>
      </c>
      <c r="M70" s="41" t="str">
        <f t="shared" si="13"/>
        <v>M13</v>
      </c>
      <c r="N70" s="41" t="str">
        <f t="shared" si="13"/>
        <v>N13</v>
      </c>
      <c r="O70" s="41" t="str">
        <f t="shared" si="13"/>
        <v>O13</v>
      </c>
      <c r="P70" s="41" t="str">
        <f t="shared" si="13"/>
        <v>P13</v>
      </c>
      <c r="Q70" s="41" t="str">
        <f t="shared" si="13"/>
        <v>Q13</v>
      </c>
      <c r="R70" s="42" t="s">
        <v>8</v>
      </c>
    </row>
    <row r="71" spans="1:20" ht="14.4" x14ac:dyDescent="0.2">
      <c r="A71" s="54" t="s">
        <v>35</v>
      </c>
      <c r="B71" s="55"/>
      <c r="C71" s="56"/>
      <c r="D71" s="31"/>
      <c r="E71" s="32"/>
      <c r="F71" s="48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6"/>
      <c r="R71" s="43">
        <f>SUM(G71:Q71)</f>
        <v>0</v>
      </c>
      <c r="T71" s="12"/>
    </row>
    <row r="72" spans="1:20" ht="14.4" x14ac:dyDescent="0.2">
      <c r="A72" s="54" t="s">
        <v>34</v>
      </c>
      <c r="B72" s="55"/>
      <c r="C72" s="56"/>
      <c r="D72" s="31"/>
      <c r="E72" s="32"/>
      <c r="F72" s="48"/>
      <c r="G72" s="40" cm="1">
        <f t="array" ref="G72">SUM(G36:G53*$S36:$S53*$T36:$T53)</f>
        <v>0</v>
      </c>
      <c r="H72" s="40" cm="1">
        <f t="array" ref="H72">SUM(H36:H53*$S36:$S53*$T36:$T53)</f>
        <v>0</v>
      </c>
      <c r="I72" s="40" cm="1">
        <f t="array" ref="I72">SUM(I36:I53*$S36:$S53*$T36:$T53)</f>
        <v>0</v>
      </c>
      <c r="J72" s="40" cm="1">
        <f t="array" ref="J72">SUM(J36:J53*$S36:$S53*$T36:$T53)</f>
        <v>0</v>
      </c>
      <c r="K72" s="40" cm="1">
        <f t="array" ref="K72">SUM(K36:K53*$S36:$S53*$T36:$T53)</f>
        <v>0</v>
      </c>
      <c r="L72" s="40" cm="1">
        <f t="array" ref="L72">SUM(L36:L53*$S36:$S53*$T36:$T53)</f>
        <v>0</v>
      </c>
      <c r="M72" s="40" cm="1">
        <f t="array" ref="M72">SUM(M36:M53*$S36:$S53*$T36:$T53)</f>
        <v>0</v>
      </c>
      <c r="N72" s="40" cm="1">
        <f t="array" ref="N72">SUM(N36:N53*$S36:$S53*$T36:$T53)</f>
        <v>0</v>
      </c>
      <c r="O72" s="40" cm="1">
        <f t="array" ref="O72">SUM(O36:O53*$S36:$S53*$T36:$T53)</f>
        <v>0</v>
      </c>
      <c r="P72" s="40" cm="1">
        <f t="array" ref="P72">SUM(P36:P53*$S36:$S53*$T36:$T53)</f>
        <v>0</v>
      </c>
      <c r="Q72" s="40" cm="1">
        <f t="array" ref="Q72">SUM(Q36:Q53*$S36:$S53*$T36:$T53)</f>
        <v>0</v>
      </c>
      <c r="R72" s="43" cm="1">
        <f t="array" ref="R72">SUM(R36:R53*$S36:$S53*$T36:$T53)</f>
        <v>0</v>
      </c>
    </row>
    <row r="73" spans="1:20" ht="15" thickBot="1" x14ac:dyDescent="0.25">
      <c r="A73" s="57" t="s">
        <v>36</v>
      </c>
      <c r="B73" s="58"/>
      <c r="C73" s="59"/>
      <c r="D73" s="33"/>
      <c r="E73" s="34"/>
      <c r="F73" s="49"/>
      <c r="G73" s="44">
        <f>G72-G71</f>
        <v>0</v>
      </c>
      <c r="H73" s="44">
        <f t="shared" ref="H73:J73" si="14">H72-H71</f>
        <v>0</v>
      </c>
      <c r="I73" s="44">
        <f t="shared" si="14"/>
        <v>0</v>
      </c>
      <c r="J73" s="44">
        <f t="shared" si="14"/>
        <v>0</v>
      </c>
      <c r="K73" s="44">
        <f>K72-K71</f>
        <v>0</v>
      </c>
      <c r="L73" s="44">
        <f t="shared" ref="L73:N73" si="15">L72-L71</f>
        <v>0</v>
      </c>
      <c r="M73" s="44">
        <f t="shared" si="15"/>
        <v>0</v>
      </c>
      <c r="N73" s="44">
        <f t="shared" si="15"/>
        <v>0</v>
      </c>
      <c r="O73" s="44">
        <f t="shared" ref="O73:P73" si="16">O72-O71</f>
        <v>0</v>
      </c>
      <c r="P73" s="44">
        <f t="shared" si="16"/>
        <v>0</v>
      </c>
      <c r="Q73" s="44">
        <f>Q72-Q71</f>
        <v>0</v>
      </c>
      <c r="R73" s="45">
        <f>R72-R71</f>
        <v>0</v>
      </c>
    </row>
    <row r="74" spans="1:20" ht="12.75" customHeight="1" x14ac:dyDescent="0.2">
      <c r="A74" s="4"/>
      <c r="B74" s="4"/>
      <c r="C74" s="4"/>
      <c r="D74" s="4"/>
      <c r="E74" s="5"/>
      <c r="F74" s="50"/>
      <c r="G74" s="13"/>
      <c r="H74" s="13"/>
      <c r="I74" s="13"/>
    </row>
    <row r="75" spans="1:20" x14ac:dyDescent="0.2">
      <c r="A75" s="35"/>
      <c r="B75" s="35"/>
      <c r="C75" s="35"/>
      <c r="D75" s="35"/>
      <c r="E75" s="35"/>
      <c r="F75" s="35"/>
      <c r="G75" s="13"/>
      <c r="H75" s="13"/>
      <c r="I75" s="13"/>
      <c r="J75" s="13"/>
      <c r="K75" s="13"/>
      <c r="L75" s="13"/>
      <c r="M75" s="13"/>
      <c r="N75" s="35"/>
      <c r="O75" s="35"/>
      <c r="P75" s="35"/>
      <c r="Q75" s="35"/>
    </row>
    <row r="77" spans="1:20" x14ac:dyDescent="0.2">
      <c r="A77" s="12" t="s">
        <v>20</v>
      </c>
      <c r="E77" s="36">
        <f>E61</f>
        <v>18</v>
      </c>
      <c r="F77" s="1" t="s">
        <v>21</v>
      </c>
    </row>
    <row r="78" spans="1:20" x14ac:dyDescent="0.2">
      <c r="A78" s="12" t="s">
        <v>22</v>
      </c>
      <c r="E78" s="36">
        <f>F61</f>
        <v>0</v>
      </c>
      <c r="F78" s="1" t="s">
        <v>21</v>
      </c>
    </row>
    <row r="79" spans="1:20" x14ac:dyDescent="0.2">
      <c r="A79" s="12" t="s">
        <v>23</v>
      </c>
      <c r="E79" s="36">
        <f>G61</f>
        <v>3.456</v>
      </c>
      <c r="F79" s="1" t="s">
        <v>24</v>
      </c>
    </row>
    <row r="81" spans="1:6" x14ac:dyDescent="0.2">
      <c r="A81" s="12" t="s">
        <v>25</v>
      </c>
      <c r="E81" s="37">
        <f>T33+T55</f>
        <v>36</v>
      </c>
      <c r="F81" s="1" t="s">
        <v>26</v>
      </c>
    </row>
    <row r="82" spans="1:6" x14ac:dyDescent="0.2">
      <c r="A82" s="12" t="s">
        <v>27</v>
      </c>
      <c r="E82" s="37">
        <f>U33+U55</f>
        <v>0</v>
      </c>
      <c r="F82" s="1" t="s">
        <v>26</v>
      </c>
    </row>
  </sheetData>
  <mergeCells count="23">
    <mergeCell ref="A67:C67"/>
    <mergeCell ref="E14:E32"/>
    <mergeCell ref="A61:D61"/>
    <mergeCell ref="G61:I61"/>
    <mergeCell ref="G32:S32"/>
    <mergeCell ref="F14:F32"/>
    <mergeCell ref="A64:E64"/>
    <mergeCell ref="A70:E70"/>
    <mergeCell ref="A71:C71"/>
    <mergeCell ref="A72:C72"/>
    <mergeCell ref="A73:C73"/>
    <mergeCell ref="A1:V2"/>
    <mergeCell ref="A13:C13"/>
    <mergeCell ref="A65:C65"/>
    <mergeCell ref="A66:C66"/>
    <mergeCell ref="A33:C33"/>
    <mergeCell ref="A32:C32"/>
    <mergeCell ref="A35:C35"/>
    <mergeCell ref="E36:E54"/>
    <mergeCell ref="F36:F54"/>
    <mergeCell ref="A54:C54"/>
    <mergeCell ref="G54:S54"/>
    <mergeCell ref="A55:C55"/>
  </mergeCells>
  <phoneticPr fontId="9" type="noConversion"/>
  <pageMargins left="0.23622047244094491" right="0.23622047244094491" top="0.35433070866141736" bottom="0.35433070866141736" header="0.31496062992125984" footer="0.31496062992125984"/>
  <pageSetup paperSize="9" scale="61" orientation="portrait" r:id="rId1"/>
  <rowBreaks count="1" manualBreakCount="1">
    <brk id="74" max="17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DC113A735AE4C541AC8943F39E98EF68" ma:contentTypeVersion="5" ma:contentTypeDescription="Yeni belge oluşturun." ma:contentTypeScope="" ma:versionID="4996bfdcaab086d101876fac6fff6851">
  <xsd:schema xmlns:xsd="http://www.w3.org/2001/XMLSchema" xmlns:xs="http://www.w3.org/2001/XMLSchema" xmlns:p="http://schemas.microsoft.com/office/2006/metadata/properties" xmlns:ns3="4278a4d8-54f7-4bd4-b588-5f1cabea8804" xmlns:ns4="c64bcc4c-3e73-4269-8855-173f1378211f" targetNamespace="http://schemas.microsoft.com/office/2006/metadata/properties" ma:root="true" ma:fieldsID="c55b6aa4be5753a25bb6a4f70e826f5f" ns3:_="" ns4:_="">
    <xsd:import namespace="4278a4d8-54f7-4bd4-b588-5f1cabea8804"/>
    <xsd:import namespace="c64bcc4c-3e73-4269-8855-173f1378211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8a4d8-54f7-4bd4-b588-5f1cabea88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4bcc4c-3e73-4269-8855-173f1378211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İpucu Paylaşımı Karması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2BE971-9473-486F-B75A-D10B2DE465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78a4d8-54f7-4bd4-b588-5f1cabea8804"/>
    <ds:schemaRef ds:uri="c64bcc4c-3e73-4269-8855-173f137821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F7698-043B-4F82-BEC9-69BF5762EA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BA3CA4-BA73-469B-AE48-693D62063A2C}">
  <ds:schemaRefs>
    <ds:schemaRef ds:uri="http://schemas.openxmlformats.org/package/2006/metadata/core-properties"/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c64bcc4c-3e73-4269-8855-173f1378211f"/>
    <ds:schemaRef ds:uri="4278a4d8-54f7-4bd4-b588-5f1cabea8804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West</vt:lpstr>
      <vt:lpstr>West!Print_Area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Tareq</dc:creator>
  <cp:lastModifiedBy>s.yurtseven</cp:lastModifiedBy>
  <cp:lastPrinted>2022-02-11T06:09:18Z</cp:lastPrinted>
  <dcterms:created xsi:type="dcterms:W3CDTF">2014-01-16T06:44:17Z</dcterms:created>
  <dcterms:modified xsi:type="dcterms:W3CDTF">2022-11-18T06:02:57Z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0x010100DC113A735AE4C541AC8943F39E98EF68</vt:lpwstr>
  </property>
</Properties>
</file>