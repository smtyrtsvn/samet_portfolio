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yurtseven\PycharmProjects\pythonProject\AutoPyxl\"/>
    </mc:Choice>
  </mc:AlternateContent>
  <xr:revisionPtr revIDLastSave="0" documentId="13_ncr:1_{65E9F59C-9E9E-4C78-8516-548D04EB4428}" xr6:coauthVersionLast="47" xr6:coauthVersionMax="47" xr10:uidLastSave="{00000000-0000-0000-0000-000000000000}"/>
  <bookViews>
    <workbookView xWindow="22932" yWindow="-108" windowWidth="23256" windowHeight="12456" tabRatio="610" xr2:uid="{00000000-000D-0000-FFFF-FFFF00000000}"/>
  </bookViews>
  <sheets>
    <sheet name="Sample" sheetId="20" r:id="rId1"/>
  </sheets>
  <definedNames>
    <definedName name="_xlnm.Print_Area" localSheetId="0">Sample!$A$1:$V$151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0" l="1"/>
  <c r="A15" i="20" s="1"/>
  <c r="C15" i="20" s="1"/>
  <c r="A16" i="20" s="1"/>
  <c r="C16" i="20" s="1"/>
  <c r="A17" i="20" s="1"/>
  <c r="C17" i="20" s="1"/>
  <c r="A18" i="20" s="1"/>
  <c r="C18" i="20" s="1"/>
  <c r="A19" i="20" s="1"/>
  <c r="C19" i="20" s="1"/>
  <c r="A20" i="20" s="1"/>
  <c r="C20" i="20" s="1"/>
  <c r="A21" i="20" s="1"/>
  <c r="C21" i="20" s="1"/>
  <c r="A22" i="20" s="1"/>
  <c r="C22" i="20" s="1"/>
  <c r="A23" i="20" s="1"/>
  <c r="C23" i="20" s="1"/>
  <c r="A24" i="20" s="1"/>
  <c r="C24" i="20" s="1"/>
  <c r="A25" i="20" s="1"/>
  <c r="C25" i="20" s="1"/>
  <c r="A26" i="20" s="1"/>
  <c r="C26" i="20" s="1"/>
  <c r="A27" i="20" s="1"/>
  <c r="C27" i="20" s="1"/>
  <c r="A28" i="20" s="1"/>
  <c r="C28" i="20" s="1"/>
  <c r="A29" i="20" s="1"/>
  <c r="C29" i="20" s="1"/>
  <c r="A30" i="20" s="1"/>
  <c r="C30" i="20" s="1"/>
  <c r="A31" i="20" s="1"/>
  <c r="C31" i="20" s="1"/>
  <c r="C36" i="20"/>
  <c r="A37" i="20" s="1"/>
  <c r="C37" i="20" s="1"/>
  <c r="A38" i="20" s="1"/>
  <c r="C38" i="20" s="1"/>
  <c r="A39" i="20" s="1"/>
  <c r="C39" i="20" s="1"/>
  <c r="A40" i="20" s="1"/>
  <c r="C40" i="20" s="1"/>
  <c r="A41" i="20" s="1"/>
  <c r="C41" i="20" s="1"/>
  <c r="A42" i="20" s="1"/>
  <c r="C42" i="20" s="1"/>
  <c r="A43" i="20" s="1"/>
  <c r="C43" i="20" s="1"/>
  <c r="A44" i="20" s="1"/>
  <c r="C44" i="20" s="1"/>
  <c r="A45" i="20" s="1"/>
  <c r="C45" i="20" s="1"/>
  <c r="A46" i="20" s="1"/>
  <c r="C46" i="20" s="1"/>
  <c r="A47" i="20" s="1"/>
  <c r="C47" i="20" s="1"/>
  <c r="A48" i="20" s="1"/>
  <c r="C48" i="20" s="1"/>
  <c r="A49" i="20" s="1"/>
  <c r="C49" i="20" s="1"/>
  <c r="A50" i="20" s="1"/>
  <c r="C50" i="20" s="1"/>
  <c r="A51" i="20" s="1"/>
  <c r="C51" i="20" s="1"/>
  <c r="A52" i="20" s="1"/>
  <c r="C52" i="20" s="1"/>
  <c r="A53" i="20" s="1"/>
  <c r="C53" i="20" s="1"/>
  <c r="C58" i="20"/>
  <c r="A59" i="20" s="1"/>
  <c r="C59" i="20" s="1"/>
  <c r="A60" i="20" s="1"/>
  <c r="C60" i="20" s="1"/>
  <c r="A61" i="20" s="1"/>
  <c r="C61" i="20" s="1"/>
  <c r="A62" i="20" s="1"/>
  <c r="C62" i="20" s="1"/>
  <c r="A63" i="20" s="1"/>
  <c r="C63" i="20" s="1"/>
  <c r="A64" i="20" s="1"/>
  <c r="C64" i="20" s="1"/>
  <c r="A65" i="20" s="1"/>
  <c r="C65" i="20" s="1"/>
  <c r="A66" i="20" s="1"/>
  <c r="C66" i="20" s="1"/>
  <c r="A67" i="20" s="1"/>
  <c r="C67" i="20" s="1"/>
  <c r="A68" i="20" s="1"/>
  <c r="C68" i="20" s="1"/>
  <c r="A69" i="20" s="1"/>
  <c r="C69" i="20" s="1"/>
  <c r="A70" i="20" s="1"/>
  <c r="C70" i="20" s="1"/>
  <c r="A71" i="20" s="1"/>
  <c r="C71" i="20" s="1"/>
  <c r="A72" i="20" s="1"/>
  <c r="C72" i="20" s="1"/>
  <c r="A73" i="20" s="1"/>
  <c r="C73" i="20" s="1"/>
  <c r="A74" i="20" s="1"/>
  <c r="C74" i="20" s="1"/>
  <c r="A75" i="20" s="1"/>
  <c r="C75" i="20" s="1"/>
  <c r="C80" i="20"/>
  <c r="A81" i="20" s="1"/>
  <c r="C81" i="20" s="1"/>
  <c r="A82" i="20" s="1"/>
  <c r="C82" i="20" s="1"/>
  <c r="A83" i="20" s="1"/>
  <c r="C83" i="20" s="1"/>
  <c r="A84" i="20" s="1"/>
  <c r="C84" i="20" s="1"/>
  <c r="A85" i="20" s="1"/>
  <c r="C85" i="20" s="1"/>
  <c r="A86" i="20" s="1"/>
  <c r="C86" i="20" s="1"/>
  <c r="A87" i="20" s="1"/>
  <c r="C87" i="20" s="1"/>
  <c r="A88" i="20" s="1"/>
  <c r="C88" i="20" s="1"/>
  <c r="A89" i="20" s="1"/>
  <c r="C89" i="20" s="1"/>
  <c r="A90" i="20" s="1"/>
  <c r="C90" i="20" s="1"/>
  <c r="A91" i="20" s="1"/>
  <c r="C91" i="20" s="1"/>
  <c r="A92" i="20" s="1"/>
  <c r="C92" i="20" s="1"/>
  <c r="A93" i="20" s="1"/>
  <c r="C93" i="20" s="1"/>
  <c r="A94" i="20" s="1"/>
  <c r="C94" i="20" s="1"/>
  <c r="A95" i="20" s="1"/>
  <c r="C95" i="20" s="1"/>
  <c r="A96" i="20" s="1"/>
  <c r="C96" i="20" s="1"/>
  <c r="A97" i="20" s="1"/>
  <c r="C97" i="20" s="1"/>
  <c r="C102" i="20"/>
  <c r="A103" i="20" s="1"/>
  <c r="C103" i="20" s="1"/>
  <c r="A104" i="20" s="1"/>
  <c r="C104" i="20" s="1"/>
  <c r="A105" i="20" s="1"/>
  <c r="C105" i="20" s="1"/>
  <c r="A106" i="20" s="1"/>
  <c r="C106" i="20" s="1"/>
  <c r="A107" i="20" s="1"/>
  <c r="C107" i="20" s="1"/>
  <c r="A108" i="20" s="1"/>
  <c r="C108" i="20" s="1"/>
  <c r="A109" i="20" s="1"/>
  <c r="C109" i="20" s="1"/>
  <c r="A110" i="20" s="1"/>
  <c r="C110" i="20" s="1"/>
  <c r="A111" i="20" s="1"/>
  <c r="C111" i="20" s="1"/>
  <c r="A112" i="20" s="1"/>
  <c r="C112" i="20" s="1"/>
  <c r="A113" i="20" s="1"/>
  <c r="C113" i="20" s="1"/>
  <c r="A114" i="20" s="1"/>
  <c r="C114" i="20" s="1"/>
  <c r="A115" i="20" s="1"/>
  <c r="C115" i="20" s="1"/>
  <c r="A116" i="20" s="1"/>
  <c r="C116" i="20" s="1"/>
  <c r="A117" i="20" s="1"/>
  <c r="C117" i="20" s="1"/>
  <c r="A118" i="20" s="1"/>
  <c r="C118" i="20" s="1"/>
  <c r="A119" i="20" s="1"/>
  <c r="C119" i="20" s="1"/>
  <c r="O135" i="20" l="1" a="1"/>
  <c r="O135" i="20" s="1"/>
  <c r="O136" i="20" s="1"/>
  <c r="P135" i="20" a="1"/>
  <c r="P135" i="20" s="1"/>
  <c r="P136" i="20" s="1"/>
  <c r="O141" i="20" a="1"/>
  <c r="O141" i="20" s="1"/>
  <c r="O142" i="20" s="1"/>
  <c r="P141" i="20" a="1"/>
  <c r="P141" i="20" s="1"/>
  <c r="P142" i="20" s="1"/>
  <c r="O147" i="20" a="1"/>
  <c r="O147" i="20" s="1"/>
  <c r="O148" i="20" s="1"/>
  <c r="P147" i="20" a="1"/>
  <c r="P147" i="20" s="1"/>
  <c r="P148" i="20" s="1"/>
  <c r="O153" i="20" a="1"/>
  <c r="O153" i="20" s="1"/>
  <c r="O154" i="20" s="1"/>
  <c r="P153" i="20" a="1"/>
  <c r="P153" i="20" s="1"/>
  <c r="P154" i="20" s="1"/>
  <c r="O159" i="20" a="1"/>
  <c r="O159" i="20" s="1"/>
  <c r="O160" i="20" s="1"/>
  <c r="P159" i="20" a="1"/>
  <c r="P159" i="20" s="1"/>
  <c r="P160" i="20" s="1"/>
  <c r="P157" i="20"/>
  <c r="O157" i="20"/>
  <c r="P151" i="20"/>
  <c r="O151" i="20"/>
  <c r="P145" i="20"/>
  <c r="O145" i="20"/>
  <c r="P139" i="20"/>
  <c r="O139" i="20"/>
  <c r="P133" i="20"/>
  <c r="O133" i="20"/>
  <c r="P101" i="20"/>
  <c r="O101" i="20"/>
  <c r="P79" i="20"/>
  <c r="O79" i="20"/>
  <c r="P57" i="20"/>
  <c r="O57" i="20"/>
  <c r="O35" i="20"/>
  <c r="P35" i="20"/>
  <c r="R158" i="20" l="1"/>
  <c r="Q157" i="20"/>
  <c r="N157" i="20"/>
  <c r="M157" i="20"/>
  <c r="L157" i="20"/>
  <c r="K157" i="20"/>
  <c r="J157" i="20"/>
  <c r="I157" i="20"/>
  <c r="H157" i="20"/>
  <c r="G157" i="20"/>
  <c r="R119" i="20"/>
  <c r="R118" i="20"/>
  <c r="R117" i="20"/>
  <c r="R116" i="20"/>
  <c r="R115" i="20"/>
  <c r="R114" i="20"/>
  <c r="R113" i="20"/>
  <c r="R112" i="20"/>
  <c r="R111" i="20"/>
  <c r="R110" i="20"/>
  <c r="R109" i="20"/>
  <c r="R108" i="20"/>
  <c r="U108" i="20" s="1"/>
  <c r="R107" i="20"/>
  <c r="R106" i="20"/>
  <c r="R105" i="20"/>
  <c r="R104" i="20"/>
  <c r="R103" i="20"/>
  <c r="R102" i="20"/>
  <c r="U102" i="20" s="1"/>
  <c r="Q101" i="20"/>
  <c r="N101" i="20"/>
  <c r="M101" i="20"/>
  <c r="L101" i="20"/>
  <c r="K101" i="20"/>
  <c r="J101" i="20"/>
  <c r="I101" i="20"/>
  <c r="H101" i="20"/>
  <c r="G101" i="20"/>
  <c r="Q79" i="20"/>
  <c r="N79" i="20"/>
  <c r="M79" i="20"/>
  <c r="L79" i="20"/>
  <c r="K79" i="20"/>
  <c r="J79" i="20"/>
  <c r="I79" i="20"/>
  <c r="H79" i="20"/>
  <c r="G79" i="20"/>
  <c r="Q57" i="20"/>
  <c r="N57" i="20"/>
  <c r="M57" i="20"/>
  <c r="L57" i="20"/>
  <c r="K57" i="20"/>
  <c r="J57" i="20"/>
  <c r="I57" i="20"/>
  <c r="H57" i="20"/>
  <c r="G57" i="20"/>
  <c r="Q35" i="20"/>
  <c r="N35" i="20"/>
  <c r="M35" i="20"/>
  <c r="L35" i="20"/>
  <c r="K35" i="20"/>
  <c r="J35" i="20"/>
  <c r="I35" i="20"/>
  <c r="H35" i="20"/>
  <c r="G35" i="20"/>
  <c r="R134" i="20"/>
  <c r="Q151" i="20"/>
  <c r="Q145" i="20"/>
  <c r="Q139" i="20"/>
  <c r="Q133" i="20"/>
  <c r="R97" i="20"/>
  <c r="R96" i="20"/>
  <c r="R95" i="20"/>
  <c r="R94" i="20"/>
  <c r="R93" i="20"/>
  <c r="R92" i="20"/>
  <c r="R91" i="20"/>
  <c r="R90" i="20"/>
  <c r="R89" i="20"/>
  <c r="R88" i="20"/>
  <c r="R87" i="20"/>
  <c r="R86" i="20"/>
  <c r="R85" i="20"/>
  <c r="R84" i="20"/>
  <c r="R83" i="20"/>
  <c r="R82" i="20"/>
  <c r="R81" i="20"/>
  <c r="R80" i="20"/>
  <c r="R75" i="20"/>
  <c r="R74" i="20"/>
  <c r="R73" i="20"/>
  <c r="R72" i="20"/>
  <c r="R71" i="20"/>
  <c r="R70" i="20"/>
  <c r="R69" i="20"/>
  <c r="R68" i="20"/>
  <c r="R67" i="20"/>
  <c r="R66" i="20"/>
  <c r="R65" i="20"/>
  <c r="R64" i="20"/>
  <c r="R63" i="20"/>
  <c r="R62" i="20"/>
  <c r="R61" i="20"/>
  <c r="R60" i="20"/>
  <c r="R59" i="20"/>
  <c r="R58" i="20"/>
  <c r="R43" i="20"/>
  <c r="R53" i="20"/>
  <c r="R52" i="20"/>
  <c r="R51" i="20"/>
  <c r="R50" i="20"/>
  <c r="R49" i="20"/>
  <c r="R48" i="20"/>
  <c r="R47" i="20"/>
  <c r="R46" i="20"/>
  <c r="R45" i="20"/>
  <c r="R44" i="20"/>
  <c r="R42" i="20"/>
  <c r="R41" i="20"/>
  <c r="R40" i="20"/>
  <c r="R39" i="20"/>
  <c r="R38" i="20"/>
  <c r="R37" i="20"/>
  <c r="R36" i="20"/>
  <c r="R31" i="20"/>
  <c r="R30" i="20"/>
  <c r="R29" i="20"/>
  <c r="R28" i="20"/>
  <c r="R27" i="20"/>
  <c r="R26" i="20"/>
  <c r="R25" i="20"/>
  <c r="R24" i="20"/>
  <c r="R23" i="20"/>
  <c r="R22" i="20"/>
  <c r="R21" i="20"/>
  <c r="R20" i="20"/>
  <c r="R19" i="20"/>
  <c r="R18" i="20"/>
  <c r="R17" i="20"/>
  <c r="R16" i="20"/>
  <c r="R15" i="20"/>
  <c r="R14" i="20"/>
  <c r="N151" i="20"/>
  <c r="M151" i="20"/>
  <c r="L151" i="20"/>
  <c r="K151" i="20"/>
  <c r="J151" i="20"/>
  <c r="I151" i="20"/>
  <c r="H151" i="20"/>
  <c r="G151" i="20"/>
  <c r="N145" i="20"/>
  <c r="M145" i="20"/>
  <c r="L145" i="20"/>
  <c r="K145" i="20"/>
  <c r="J145" i="20"/>
  <c r="I145" i="20"/>
  <c r="H145" i="20"/>
  <c r="G145" i="20"/>
  <c r="N139" i="20"/>
  <c r="M139" i="20"/>
  <c r="L139" i="20"/>
  <c r="K139" i="20"/>
  <c r="J139" i="20"/>
  <c r="I139" i="20"/>
  <c r="H139" i="20"/>
  <c r="G139" i="20"/>
  <c r="H133" i="20"/>
  <c r="I133" i="20"/>
  <c r="J133" i="20"/>
  <c r="K133" i="20"/>
  <c r="L133" i="20"/>
  <c r="M133" i="20"/>
  <c r="N133" i="20"/>
  <c r="G133" i="20"/>
  <c r="K159" i="20" l="1" a="1"/>
  <c r="K159" i="20" s="1"/>
  <c r="K160" i="20" s="1"/>
  <c r="I159" i="20" a="1"/>
  <c r="I159" i="20" s="1"/>
  <c r="I160" i="20" s="1"/>
  <c r="Q159" i="20" a="1"/>
  <c r="Q159" i="20" s="1"/>
  <c r="Q160" i="20" s="1"/>
  <c r="J159" i="20" a="1"/>
  <c r="J159" i="20" s="1"/>
  <c r="J160" i="20" s="1"/>
  <c r="N159" i="20" a="1"/>
  <c r="N159" i="20" s="1"/>
  <c r="N160" i="20" s="1"/>
  <c r="M159" i="20" a="1"/>
  <c r="M159" i="20" s="1"/>
  <c r="M160" i="20" s="1"/>
  <c r="H159" i="20" a="1"/>
  <c r="H159" i="20" s="1"/>
  <c r="H160" i="20" s="1"/>
  <c r="L159" i="20" a="1"/>
  <c r="L159" i="20" s="1"/>
  <c r="L160" i="20" s="1"/>
  <c r="R159" i="20" a="1"/>
  <c r="R159" i="20" s="1"/>
  <c r="U110" i="20"/>
  <c r="U114" i="20"/>
  <c r="U118" i="20"/>
  <c r="G159" i="20" a="1"/>
  <c r="G159" i="20" s="1"/>
  <c r="G160" i="20" s="1"/>
  <c r="U106" i="20"/>
  <c r="U109" i="20"/>
  <c r="U119" i="20"/>
  <c r="U103" i="20"/>
  <c r="T120" i="20"/>
  <c r="T121" i="20" s="1"/>
  <c r="C129" i="20" s="1"/>
  <c r="U107" i="20"/>
  <c r="U104" i="20"/>
  <c r="U111" i="20"/>
  <c r="U112" i="20"/>
  <c r="U117" i="20"/>
  <c r="U105" i="20"/>
  <c r="U115" i="20"/>
  <c r="U116" i="20"/>
  <c r="U113" i="20"/>
  <c r="R152" i="20"/>
  <c r="R146" i="20"/>
  <c r="R140" i="20"/>
  <c r="U97" i="20"/>
  <c r="U81" i="20"/>
  <c r="U73" i="20"/>
  <c r="E8" i="20" l="1"/>
  <c r="R160" i="20"/>
  <c r="F129" i="20"/>
  <c r="E129" i="20" s="1"/>
  <c r="U120" i="20"/>
  <c r="U121" i="20" s="1"/>
  <c r="R147" i="20" a="1"/>
  <c r="R147" i="20" s="1"/>
  <c r="F127" i="20" s="1"/>
  <c r="R141" i="20" a="1"/>
  <c r="R141" i="20" s="1"/>
  <c r="F126" i="20" s="1"/>
  <c r="L153" i="20" a="1"/>
  <c r="L153" i="20" s="1"/>
  <c r="K153" i="20" a="1"/>
  <c r="K153" i="20" s="1"/>
  <c r="J153" i="20" a="1"/>
  <c r="J153" i="20" s="1"/>
  <c r="I153" i="20" a="1"/>
  <c r="I153" i="20" s="1"/>
  <c r="H153" i="20" a="1"/>
  <c r="H153" i="20" s="1"/>
  <c r="Q153" i="20" a="1"/>
  <c r="Q153" i="20" s="1"/>
  <c r="Q154" i="20" s="1"/>
  <c r="N153" i="20" a="1"/>
  <c r="N153" i="20" s="1"/>
  <c r="M153" i="20" a="1"/>
  <c r="M153" i="20" s="1"/>
  <c r="L147" i="20" a="1"/>
  <c r="L147" i="20" s="1"/>
  <c r="K147" i="20" a="1"/>
  <c r="K147" i="20" s="1"/>
  <c r="J147" i="20" a="1"/>
  <c r="J147" i="20" s="1"/>
  <c r="I147" i="20" a="1"/>
  <c r="I147" i="20" s="1"/>
  <c r="G147" i="20" a="1"/>
  <c r="G147" i="20" s="1"/>
  <c r="H147" i="20" a="1"/>
  <c r="H147" i="20" s="1"/>
  <c r="Q147" i="20" a="1"/>
  <c r="Q147" i="20" s="1"/>
  <c r="Q148" i="20" s="1"/>
  <c r="N147" i="20" a="1"/>
  <c r="N147" i="20" s="1"/>
  <c r="M147" i="20" a="1"/>
  <c r="M147" i="20" s="1"/>
  <c r="I141" i="20" a="1"/>
  <c r="I141" i="20" s="1"/>
  <c r="H141" i="20" a="1"/>
  <c r="H141" i="20" s="1"/>
  <c r="J141" i="20" a="1"/>
  <c r="J141" i="20" s="1"/>
  <c r="Q141" i="20" a="1"/>
  <c r="Q141" i="20" s="1"/>
  <c r="Q142" i="20" s="1"/>
  <c r="G141" i="20" a="1"/>
  <c r="G141" i="20" s="1"/>
  <c r="L141" i="20" a="1"/>
  <c r="L141" i="20" s="1"/>
  <c r="N141" i="20" a="1"/>
  <c r="N141" i="20" s="1"/>
  <c r="M141" i="20" a="1"/>
  <c r="M141" i="20" s="1"/>
  <c r="K141" i="20" a="1"/>
  <c r="K141" i="20" s="1"/>
  <c r="R153" i="20" a="1"/>
  <c r="R153" i="20" s="1"/>
  <c r="F128" i="20" s="1"/>
  <c r="G153" i="20" a="1"/>
  <c r="G153" i="20" s="1"/>
  <c r="U60" i="20"/>
  <c r="U64" i="20"/>
  <c r="U58" i="20"/>
  <c r="U71" i="20"/>
  <c r="U75" i="20"/>
  <c r="U83" i="20"/>
  <c r="U91" i="20"/>
  <c r="U95" i="20"/>
  <c r="U68" i="20"/>
  <c r="U59" i="20"/>
  <c r="U67" i="20"/>
  <c r="U82" i="20"/>
  <c r="U90" i="20"/>
  <c r="U53" i="20"/>
  <c r="U80" i="20"/>
  <c r="U84" i="20"/>
  <c r="U88" i="20"/>
  <c r="U92" i="20"/>
  <c r="U62" i="20"/>
  <c r="U66" i="20"/>
  <c r="U74" i="20"/>
  <c r="U85" i="20"/>
  <c r="U70" i="20"/>
  <c r="U94" i="20"/>
  <c r="U65" i="20"/>
  <c r="U89" i="20"/>
  <c r="T76" i="20"/>
  <c r="T77" i="20" s="1"/>
  <c r="C127" i="20" s="1"/>
  <c r="U72" i="20"/>
  <c r="U96" i="20"/>
  <c r="U86" i="20"/>
  <c r="U63" i="20"/>
  <c r="U69" i="20"/>
  <c r="T98" i="20"/>
  <c r="U87" i="20"/>
  <c r="U93" i="20"/>
  <c r="U61" i="20"/>
  <c r="U36" i="20"/>
  <c r="U44" i="20"/>
  <c r="U52" i="20"/>
  <c r="U38" i="20"/>
  <c r="U42" i="20"/>
  <c r="U46" i="20"/>
  <c r="U50" i="20"/>
  <c r="U39" i="20"/>
  <c r="U47" i="20"/>
  <c r="U37" i="20"/>
  <c r="U45" i="20"/>
  <c r="U49" i="20"/>
  <c r="T54" i="20"/>
  <c r="T55" i="20" s="1"/>
  <c r="C126" i="20" s="1"/>
  <c r="U51" i="20"/>
  <c r="U40" i="20"/>
  <c r="U48" i="20"/>
  <c r="U41" i="20"/>
  <c r="U43" i="20"/>
  <c r="U18" i="20"/>
  <c r="U23" i="20"/>
  <c r="U31" i="20"/>
  <c r="U26" i="20"/>
  <c r="U17" i="20"/>
  <c r="U21" i="20"/>
  <c r="U25" i="20"/>
  <c r="U29" i="20"/>
  <c r="U22" i="20"/>
  <c r="U30" i="20"/>
  <c r="U19" i="20"/>
  <c r="U27" i="20"/>
  <c r="U20" i="20"/>
  <c r="U24" i="20"/>
  <c r="U28" i="20"/>
  <c r="U16" i="20"/>
  <c r="U15" i="20"/>
  <c r="T99" i="20" l="1"/>
  <c r="E127" i="20"/>
  <c r="U98" i="20"/>
  <c r="U99" i="20" s="1"/>
  <c r="U76" i="20"/>
  <c r="U77" i="20" s="1"/>
  <c r="U54" i="20"/>
  <c r="C128" i="20" l="1"/>
  <c r="E128" i="20" s="1"/>
  <c r="J135" i="20" a="1"/>
  <c r="J135" i="20" s="1"/>
  <c r="J136" i="20" s="1"/>
  <c r="I135" i="20" a="1"/>
  <c r="I135" i="20" s="1"/>
  <c r="I136" i="20" s="1"/>
  <c r="H135" i="20" a="1"/>
  <c r="H135" i="20" s="1"/>
  <c r="H136" i="20" s="1"/>
  <c r="N135" i="20" a="1"/>
  <c r="N135" i="20" s="1"/>
  <c r="N136" i="20" s="1"/>
  <c r="L135" i="20" a="1"/>
  <c r="L135" i="20" s="1"/>
  <c r="L136" i="20" s="1"/>
  <c r="Q135" i="20" a="1"/>
  <c r="Q135" i="20" s="1"/>
  <c r="Q136" i="20" s="1"/>
  <c r="G135" i="20" a="1"/>
  <c r="G135" i="20" s="1"/>
  <c r="G136" i="20" s="1"/>
  <c r="M135" i="20" a="1"/>
  <c r="M135" i="20" s="1"/>
  <c r="M136" i="20" s="1"/>
  <c r="K135" i="20" a="1"/>
  <c r="K135" i="20" s="1"/>
  <c r="K136" i="20" s="1"/>
  <c r="R135" i="20" a="1"/>
  <c r="R135" i="20" s="1"/>
  <c r="R136" i="20" s="1"/>
  <c r="U55" i="20"/>
  <c r="U14" i="20" l="1"/>
  <c r="U32" i="20" l="1"/>
  <c r="T32" i="20"/>
  <c r="U33" i="20" l="1"/>
  <c r="E167" i="20" s="1"/>
  <c r="G154" i="20"/>
  <c r="N154" i="20"/>
  <c r="M154" i="20"/>
  <c r="I148" i="20"/>
  <c r="G148" i="20"/>
  <c r="R148" i="20"/>
  <c r="L148" i="20"/>
  <c r="T33" i="20"/>
  <c r="G142" i="20"/>
  <c r="J142" i="20"/>
  <c r="L142" i="20" l="1"/>
  <c r="E166" i="20"/>
  <c r="G130" i="20" s="1"/>
  <c r="E164" i="20" s="1"/>
  <c r="F125" i="20"/>
  <c r="E126" i="20"/>
  <c r="J154" i="20"/>
  <c r="M142" i="20"/>
  <c r="K148" i="20"/>
  <c r="R154" i="20"/>
  <c r="J148" i="20"/>
  <c r="K154" i="20"/>
  <c r="M148" i="20"/>
  <c r="N148" i="20"/>
  <c r="H154" i="20"/>
  <c r="H148" i="20"/>
  <c r="I154" i="20"/>
  <c r="L154" i="20"/>
  <c r="N142" i="20"/>
  <c r="H142" i="20"/>
  <c r="C125" i="20"/>
  <c r="I142" i="20"/>
  <c r="E10" i="20"/>
  <c r="K142" i="20"/>
  <c r="R142" i="20"/>
  <c r="F130" i="20" l="1"/>
  <c r="E163" i="20" s="1"/>
  <c r="E125" i="20"/>
  <c r="E130" i="20" l="1"/>
  <c r="E162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<sst xmlns="http://schemas.openxmlformats.org/spreadsheetml/2006/main" count="133" uniqueCount="54">
  <si>
    <t>:</t>
  </si>
  <si>
    <t>C/No.</t>
  </si>
  <si>
    <t>Color</t>
  </si>
  <si>
    <t>Code</t>
  </si>
  <si>
    <t>L</t>
  </si>
  <si>
    <t>Qty/Pack</t>
  </si>
  <si>
    <t>asrt/ctn</t>
  </si>
  <si>
    <t>ctn qty</t>
  </si>
  <si>
    <t>Total</t>
  </si>
  <si>
    <t>TOTAL</t>
  </si>
  <si>
    <t>G.W.</t>
  </si>
  <si>
    <t>N.W.</t>
  </si>
  <si>
    <t>Dimension</t>
  </si>
  <si>
    <t>(CM)</t>
  </si>
  <si>
    <t>(KGS)</t>
  </si>
  <si>
    <t>W</t>
  </si>
  <si>
    <t>H</t>
  </si>
  <si>
    <t>-</t>
  </si>
  <si>
    <t xml:space="preserve">TOTAL </t>
  </si>
  <si>
    <t>Color &amp; Sizes Breakdown:</t>
  </si>
  <si>
    <t>Total Gross Weight :</t>
  </si>
  <si>
    <t>KGS</t>
  </si>
  <si>
    <t>Total Net Weight :</t>
  </si>
  <si>
    <t>Dimension :</t>
  </si>
  <si>
    <t>CBM</t>
  </si>
  <si>
    <t>Total Carton:</t>
  </si>
  <si>
    <t>pcs</t>
  </si>
  <si>
    <t>Total Quantity:</t>
  </si>
  <si>
    <t xml:space="preserve">medico order no: </t>
  </si>
  <si>
    <t>medico article no</t>
  </si>
  <si>
    <t>order qty:</t>
  </si>
  <si>
    <t>fabrics</t>
  </si>
  <si>
    <t>carton qty</t>
  </si>
  <si>
    <t>country of origin</t>
  </si>
  <si>
    <t>shipped quantity</t>
  </si>
  <si>
    <t>order quantity</t>
  </si>
  <si>
    <t>variances</t>
  </si>
  <si>
    <t>Turkey</t>
  </si>
  <si>
    <t>PACKING LIST</t>
  </si>
  <si>
    <t>FAT0048</t>
  </si>
  <si>
    <t>769274 MEDICO DROP-1</t>
  </si>
  <si>
    <t>13034-Bright White Linear Label AOP-Light Grey Melange</t>
  </si>
  <si>
    <t>13034-Bright White Linear Label AOP-Light Grey Melange - TUNINGEN AOP crew sweat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</si>
  <si>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</si>
  <si>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</si>
  <si>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</si>
  <si>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</si>
  <si>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</si>
  <si>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</si>
  <si>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</si>
  <si>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</si>
  <si>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</si>
  <si>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Q13</t>
  </si>
  <si>
    <t>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</si>
</sst>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Pcs&quot;"/>
    <numFmt numFmtId="165" formatCode="General\ &quot;KGS&quot;"/>
    <numFmt numFmtId="166" formatCode="General\ &quot;CBM&quot;"/>
  </numFmts>
  <fonts count="10" x14ac:knownFonts="1">
    <font>
      <sz val="8"/>
      <color indexed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u/>
      <sz val="18"/>
      <name val="Arial"/>
      <family val="2"/>
    </font>
    <font>
      <b/>
      <sz val="10"/>
      <name val="Arial"/>
      <family val="2"/>
      <charset val="162"/>
    </font>
    <font>
      <sz val="9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 pivotButton="1"/>
    <xf numFmtId="0" fontId="2" fillId="0" borderId="0"/>
  </cellStyleXfs>
  <cellXfs count="8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5" fontId="2" fillId="2" borderId="7" xfId="0" applyNumberFormat="1" applyFont="1" applyFill="1" applyBorder="1" applyAlignment="1">
      <alignment horizontal="center" vertical="center" wrapText="1"/>
    </xf>
    <xf numFmtId="165" fontId="6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1" fillId="2" borderId="4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66" fontId="2" fillId="2" borderId="15" xfId="0" applyNumberFormat="1" applyFont="1" applyFill="1" applyBorder="1" applyAlignment="1">
      <alignment horizontal="center" vertical="center"/>
    </xf>
    <xf numFmtId="166" fontId="2" fillId="2" borderId="14" xfId="0" applyNumberFormat="1" applyFont="1" applyFill="1" applyBorder="1" applyAlignment="1">
      <alignment horizontal="center" vertical="center"/>
    </xf>
    <xf numFmtId="166" fontId="2" fillId="2" borderId="16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textRotation="90"/>
    </xf>
    <xf numFmtId="0" fontId="1" fillId="0" borderId="27" xfId="0" applyFont="1" applyBorder="1" applyAlignment="1">
      <alignment horizontal="center" vertical="center" textRotation="90"/>
    </xf>
    <xf numFmtId="0" fontId="1" fillId="0" borderId="28" xfId="0" applyFont="1" applyBorder="1" applyAlignment="1">
      <alignment horizontal="center" vertical="center" textRotation="90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18" xfId="0" quotePrefix="1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25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</cellXfs>
  <cellStyles count="2">
    <cellStyle name="Normal" xfId="0" builtinId="0"/>
    <cellStyle name="常规_Herod Packlist_PACKING LIST - 2009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XEV167"/>
  <sheetViews>
    <sheetView tabSelected="1" zoomScale="55" zoomScaleNormal="55" zoomScaleSheetLayoutView="70" workbookViewId="0">
      <selection sqref="A1:V2"/>
    </sheetView>
  </sheetViews>
  <sheetFormatPr defaultColWidth="12" defaultRowHeight="13.2" x14ac:dyDescent="0.2"/>
  <cols>
    <col min="1" max="1" width="7.85546875" style="1" customWidth="1"/>
    <col min="2" max="2" width="4.140625" style="1" customWidth="1"/>
    <col min="3" max="3" width="9.42578125" style="1" customWidth="1"/>
    <col min="4" max="4" width="2.85546875" style="1" customWidth="1"/>
    <col min="5" max="5" width="34.85546875" style="1" customWidth="1"/>
    <col min="6" max="6" width="11.42578125" style="1" customWidth="1"/>
    <col min="7" max="10" width="10.28515625" style="1" customWidth="1"/>
    <col min="11" max="11" width="11.42578125" style="1" bestFit="1" customWidth="1"/>
    <col min="12" max="12" width="10" style="1" bestFit="1" customWidth="1"/>
    <col min="13" max="13" width="9.140625" style="1" customWidth="1"/>
    <col min="14" max="14" width="11.42578125" style="1" bestFit="1" customWidth="1"/>
    <col min="15" max="17" width="11.42578125" style="1" customWidth="1"/>
    <col min="18" max="18" width="10" style="1" customWidth="1"/>
    <col min="19" max="19" width="10.42578125" style="1" customWidth="1"/>
    <col min="20" max="20" width="11.42578125" style="1" customWidth="1"/>
    <col min="21" max="21" width="9.28515625" style="1" customWidth="1"/>
    <col min="22" max="22" width="9.85546875" style="1" customWidth="1"/>
    <col min="23" max="16384" width="12" style="1"/>
  </cols>
  <sheetData>
    <row r="1" spans="1:23" ht="13.2" customHeight="1" x14ac:dyDescent="0.2">
      <c r="A1" s="76" t="s">
        <v>38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3" ht="13.2" customHeight="1" x14ac:dyDescent="0.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4" spans="1:23" x14ac:dyDescent="0.2">
      <c r="S4" s="13"/>
    </row>
    <row r="5" spans="1:23" x14ac:dyDescent="0.2">
      <c r="A5" s="14"/>
      <c r="B5" s="14"/>
      <c r="C5" s="14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  <c r="T5" s="17"/>
      <c r="U5" s="14"/>
      <c r="V5" s="14"/>
    </row>
    <row r="6" spans="1:23" x14ac:dyDescent="0.2">
      <c r="A6" s="13" t="s">
        <v>28</v>
      </c>
      <c r="B6" s="13"/>
      <c r="C6" s="13"/>
      <c r="D6" s="13" t="s">
        <v>0</v>
      </c>
      <c r="E6" s="16" t="s">
        <v>40</v>
      </c>
      <c r="F6" s="13"/>
      <c r="I6" s="13"/>
    </row>
    <row r="7" spans="1:23" x14ac:dyDescent="0.2">
      <c r="A7" s="13" t="s">
        <v>29</v>
      </c>
      <c r="B7" s="13"/>
      <c r="C7" s="13"/>
      <c r="D7" s="13" t="s">
        <v>0</v>
      </c>
      <c r="E7" s="16" t="s">
        <v>39</v>
      </c>
      <c r="F7" s="13"/>
      <c r="I7" s="13"/>
    </row>
    <row r="8" spans="1:23" x14ac:dyDescent="0.2">
      <c r="A8" s="13" t="s">
        <v>30</v>
      </c>
      <c r="B8" s="13"/>
      <c r="C8" s="13"/>
      <c r="D8" s="13" t="s">
        <v>0</v>
      </c>
      <c r="E8" s="18">
        <f>R134+R140+R146+R152+R158</f>
        <v>0</v>
      </c>
      <c r="F8" s="13"/>
    </row>
    <row r="9" spans="1:23" x14ac:dyDescent="0.2">
      <c r="A9" s="13" t="s">
        <v>31</v>
      </c>
      <c r="B9" s="13"/>
      <c r="C9" s="13"/>
      <c r="D9" s="13" t="s">
        <v>0</v>
      </c>
      <c r="E9" s="19"/>
      <c r="F9" s="13"/>
      <c r="G9" s="13"/>
    </row>
    <row r="10" spans="1:23" x14ac:dyDescent="0.2">
      <c r="A10" s="13" t="s">
        <v>32</v>
      </c>
      <c r="B10" s="13"/>
      <c r="C10" s="13"/>
      <c r="D10" s="13" t="s">
        <v>0</v>
      </c>
      <c r="E10" s="18">
        <f>T33</f>
        <v>18</v>
      </c>
      <c r="F10" s="13"/>
    </row>
    <row r="11" spans="1:23" x14ac:dyDescent="0.2">
      <c r="A11" s="13" t="s">
        <v>33</v>
      </c>
      <c r="B11" s="13"/>
      <c r="C11" s="13"/>
      <c r="D11" s="16" t="s">
        <v>0</v>
      </c>
      <c r="E11" s="13" t="s">
        <v>37</v>
      </c>
      <c r="F11" s="16"/>
      <c r="G11" s="16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23" ht="13.8" thickBot="1" x14ac:dyDescent="0.25"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23" x14ac:dyDescent="0.2">
      <c r="A13" s="70" t="s">
        <v>1</v>
      </c>
      <c r="B13" s="71"/>
      <c r="C13" s="72"/>
      <c r="D13" s="20"/>
      <c r="E13" s="20" t="s">
        <v>2</v>
      </c>
      <c r="F13" s="20" t="s">
        <v>3</v>
      </c>
      <c r="G13" s="20" t="s">
        <v>43</v>
      </c>
      <c r="H13" s="20" t="s">
        <v>44</v>
      </c>
      <c r="I13" s="20" t="s">
        <v>45</v>
      </c>
      <c r="J13" s="20" t="s">
        <v>46</v>
      </c>
      <c r="K13" s="20" t="s">
        <v>47</v>
      </c>
      <c r="L13" s="20" t="s">
        <v>48</v>
      </c>
      <c r="M13" s="20" t="s">
        <v>49</v>
      </c>
      <c r="N13" s="20" t="s">
        <v>50</v>
      </c>
      <c r="O13" s="20" t="s">
        <v>51</v>
      </c>
      <c r="P13" s="20" t="s">
        <v>53</v>
      </c>
      <c r="Q13" s="20" t="s">
        <v>52</v>
      </c>
      <c r="R13" s="20" t="s">
        <v>5</v>
      </c>
      <c r="S13" s="20" t="s">
        <v>6</v>
      </c>
      <c r="T13" s="20" t="s">
        <v>7</v>
      </c>
      <c r="U13" s="21" t="s">
        <v>8</v>
      </c>
    </row>
    <row r="14" spans="1:23" ht="16.5" customHeight="1" x14ac:dyDescent="0.2">
      <c r="A14" s="22">
        <v>1</v>
      </c>
      <c r="B14" s="23"/>
      <c r="C14" s="22">
        <f>A14-1+T14</f>
        <v>1</v>
      </c>
      <c r="D14" s="22"/>
      <c r="E14" s="52" t="s">
        <v>41</v>
      </c>
      <c r="F14" s="64"/>
      <c r="G14" s="23"/>
      <c r="H14" s="23"/>
      <c r="I14" s="23"/>
      <c r="J14" s="24"/>
      <c r="K14" s="23"/>
      <c r="L14" s="23"/>
      <c r="M14" s="23"/>
      <c r="N14" s="23"/>
      <c r="O14" s="23"/>
      <c r="P14" s="23"/>
      <c r="Q14" s="23"/>
      <c r="R14" s="25">
        <f>SUM(G14:Q14)</f>
        <v>0</v>
      </c>
      <c r="S14" s="25">
        <v>1</v>
      </c>
      <c r="T14" s="23">
        <v>1</v>
      </c>
      <c r="U14" s="26">
        <f>R14*S14*T14</f>
        <v>0</v>
      </c>
    </row>
    <row r="15" spans="1:23" ht="16.5" customHeight="1" x14ac:dyDescent="0.2">
      <c r="A15" s="22">
        <f>C14+1</f>
        <v>2</v>
      </c>
      <c r="B15" s="23"/>
      <c r="C15" s="22">
        <f t="shared" ref="C15:C31" si="0">A15-1+T15</f>
        <v>2</v>
      </c>
      <c r="D15" s="22"/>
      <c r="E15" s="53"/>
      <c r="F15" s="65"/>
      <c r="G15" s="23"/>
      <c r="H15" s="23"/>
      <c r="I15" s="23"/>
      <c r="J15" s="24"/>
      <c r="K15" s="23"/>
      <c r="L15" s="23"/>
      <c r="M15" s="23"/>
      <c r="N15" s="23"/>
      <c r="O15" s="23"/>
      <c r="P15" s="23"/>
      <c r="Q15" s="23"/>
      <c r="R15" s="25">
        <f t="shared" ref="R15:R31" si="1">SUM(G15:Q15)</f>
        <v>0</v>
      </c>
      <c r="S15" s="25">
        <v>1</v>
      </c>
      <c r="T15" s="23">
        <v>1</v>
      </c>
      <c r="U15" s="26">
        <f t="shared" ref="U15:U31" si="2">R15*S15*T15</f>
        <v>0</v>
      </c>
      <c r="W15" s="16"/>
    </row>
    <row r="16" spans="1:23" ht="16.5" customHeight="1" x14ac:dyDescent="0.2">
      <c r="A16" s="22">
        <f t="shared" ref="A16:A31" si="3">C15+1</f>
        <v>3</v>
      </c>
      <c r="B16" s="23"/>
      <c r="C16" s="22">
        <f t="shared" si="0"/>
        <v>3</v>
      </c>
      <c r="D16" s="22"/>
      <c r="E16" s="53"/>
      <c r="F16" s="65"/>
      <c r="G16" s="23"/>
      <c r="H16" s="23"/>
      <c r="I16" s="23"/>
      <c r="J16" s="24"/>
      <c r="K16" s="23"/>
      <c r="L16" s="23"/>
      <c r="M16" s="23"/>
      <c r="N16" s="23"/>
      <c r="O16" s="23"/>
      <c r="P16" s="23"/>
      <c r="Q16" s="23"/>
      <c r="R16" s="25">
        <f t="shared" si="1"/>
        <v>0</v>
      </c>
      <c r="S16" s="25">
        <v>1</v>
      </c>
      <c r="T16" s="23">
        <v>1</v>
      </c>
      <c r="U16" s="26">
        <f t="shared" si="2"/>
        <v>0</v>
      </c>
      <c r="W16" s="13"/>
    </row>
    <row r="17" spans="1:23" ht="16.5" customHeight="1" x14ac:dyDescent="0.2">
      <c r="A17" s="22">
        <f t="shared" si="3"/>
        <v>4</v>
      </c>
      <c r="B17" s="23"/>
      <c r="C17" s="22">
        <f t="shared" si="0"/>
        <v>4</v>
      </c>
      <c r="D17" s="22"/>
      <c r="E17" s="53"/>
      <c r="F17" s="65"/>
      <c r="G17" s="23"/>
      <c r="H17" s="23"/>
      <c r="I17" s="23"/>
      <c r="J17" s="24"/>
      <c r="K17" s="23"/>
      <c r="L17" s="23"/>
      <c r="M17" s="23"/>
      <c r="N17" s="23"/>
      <c r="O17" s="23"/>
      <c r="P17" s="23"/>
      <c r="Q17" s="23"/>
      <c r="R17" s="25">
        <f t="shared" si="1"/>
        <v>0</v>
      </c>
      <c r="S17" s="25">
        <v>1</v>
      </c>
      <c r="T17" s="23">
        <v>1</v>
      </c>
      <c r="U17" s="26">
        <f t="shared" si="2"/>
        <v>0</v>
      </c>
      <c r="W17" s="13"/>
    </row>
    <row r="18" spans="1:23" ht="16.5" customHeight="1" x14ac:dyDescent="0.2">
      <c r="A18" s="22">
        <f t="shared" si="3"/>
        <v>5</v>
      </c>
      <c r="B18" s="23"/>
      <c r="C18" s="22">
        <f t="shared" si="0"/>
        <v>5</v>
      </c>
      <c r="D18" s="22"/>
      <c r="E18" s="53"/>
      <c r="F18" s="65"/>
      <c r="G18" s="23"/>
      <c r="H18" s="23"/>
      <c r="I18" s="23"/>
      <c r="J18" s="24"/>
      <c r="K18" s="23"/>
      <c r="L18" s="23"/>
      <c r="M18" s="23"/>
      <c r="N18" s="23"/>
      <c r="O18" s="23"/>
      <c r="P18" s="23"/>
      <c r="Q18" s="23"/>
      <c r="R18" s="25">
        <f t="shared" si="1"/>
        <v>0</v>
      </c>
      <c r="S18" s="25">
        <v>1</v>
      </c>
      <c r="T18" s="23">
        <v>1</v>
      </c>
      <c r="U18" s="26">
        <f t="shared" si="2"/>
        <v>0</v>
      </c>
      <c r="W18" s="13"/>
    </row>
    <row r="19" spans="1:23" ht="16.5" customHeight="1" x14ac:dyDescent="0.2">
      <c r="A19" s="22">
        <f t="shared" si="3"/>
        <v>6</v>
      </c>
      <c r="B19" s="23"/>
      <c r="C19" s="22">
        <f t="shared" si="0"/>
        <v>6</v>
      </c>
      <c r="D19" s="22"/>
      <c r="E19" s="53"/>
      <c r="F19" s="65"/>
      <c r="G19" s="23"/>
      <c r="H19" s="23"/>
      <c r="I19" s="23"/>
      <c r="J19" s="24"/>
      <c r="K19" s="23"/>
      <c r="L19" s="23"/>
      <c r="M19" s="23"/>
      <c r="N19" s="23"/>
      <c r="O19" s="23"/>
      <c r="P19" s="23"/>
      <c r="Q19" s="23"/>
      <c r="R19" s="25">
        <f t="shared" si="1"/>
        <v>0</v>
      </c>
      <c r="S19" s="25">
        <v>1</v>
      </c>
      <c r="T19" s="23">
        <v>1</v>
      </c>
      <c r="U19" s="26">
        <f t="shared" si="2"/>
        <v>0</v>
      </c>
    </row>
    <row r="20" spans="1:23" ht="16.5" customHeight="1" x14ac:dyDescent="0.2">
      <c r="A20" s="22">
        <f t="shared" si="3"/>
        <v>7</v>
      </c>
      <c r="B20" s="23"/>
      <c r="C20" s="22">
        <f t="shared" si="0"/>
        <v>7</v>
      </c>
      <c r="D20" s="22"/>
      <c r="E20" s="53"/>
      <c r="F20" s="65"/>
      <c r="G20" s="23"/>
      <c r="H20" s="23"/>
      <c r="I20" s="23"/>
      <c r="J20" s="24"/>
      <c r="K20" s="23"/>
      <c r="L20" s="23"/>
      <c r="M20" s="23"/>
      <c r="N20" s="23"/>
      <c r="O20" s="23"/>
      <c r="P20" s="23"/>
      <c r="Q20" s="23"/>
      <c r="R20" s="25">
        <f t="shared" si="1"/>
        <v>0</v>
      </c>
      <c r="S20" s="25">
        <v>1</v>
      </c>
      <c r="T20" s="23">
        <v>1</v>
      </c>
      <c r="U20" s="26">
        <f t="shared" si="2"/>
        <v>0</v>
      </c>
    </row>
    <row r="21" spans="1:23" ht="16.5" customHeight="1" x14ac:dyDescent="0.2">
      <c r="A21" s="22">
        <f t="shared" si="3"/>
        <v>8</v>
      </c>
      <c r="B21" s="23"/>
      <c r="C21" s="22">
        <f t="shared" si="0"/>
        <v>8</v>
      </c>
      <c r="D21" s="22"/>
      <c r="E21" s="53"/>
      <c r="F21" s="65"/>
      <c r="G21" s="23"/>
      <c r="H21" s="23"/>
      <c r="I21" s="23"/>
      <c r="J21" s="24"/>
      <c r="K21" s="23"/>
      <c r="L21" s="23"/>
      <c r="M21" s="23"/>
      <c r="N21" s="23"/>
      <c r="O21" s="23"/>
      <c r="P21" s="23"/>
      <c r="Q21" s="23"/>
      <c r="R21" s="25">
        <f t="shared" si="1"/>
        <v>0</v>
      </c>
      <c r="S21" s="25">
        <v>1</v>
      </c>
      <c r="T21" s="23">
        <v>1</v>
      </c>
      <c r="U21" s="26">
        <f t="shared" si="2"/>
        <v>0</v>
      </c>
    </row>
    <row r="22" spans="1:23" ht="16.5" customHeight="1" x14ac:dyDescent="0.2">
      <c r="A22" s="22">
        <f t="shared" si="3"/>
        <v>9</v>
      </c>
      <c r="B22" s="23"/>
      <c r="C22" s="22">
        <f t="shared" si="0"/>
        <v>9</v>
      </c>
      <c r="D22" s="22"/>
      <c r="E22" s="53"/>
      <c r="F22" s="65"/>
      <c r="G22" s="23"/>
      <c r="H22" s="23"/>
      <c r="I22" s="23"/>
      <c r="J22" s="24"/>
      <c r="K22" s="23"/>
      <c r="L22" s="23"/>
      <c r="M22" s="23"/>
      <c r="N22" s="23"/>
      <c r="O22" s="23"/>
      <c r="P22" s="23"/>
      <c r="Q22" s="23"/>
      <c r="R22" s="25">
        <f t="shared" si="1"/>
        <v>0</v>
      </c>
      <c r="S22" s="25">
        <v>1</v>
      </c>
      <c r="T22" s="23">
        <v>1</v>
      </c>
      <c r="U22" s="26">
        <f t="shared" si="2"/>
        <v>0</v>
      </c>
    </row>
    <row r="23" spans="1:23" ht="16.5" customHeight="1" x14ac:dyDescent="0.2">
      <c r="A23" s="22">
        <f t="shared" si="3"/>
        <v>10</v>
      </c>
      <c r="B23" s="23"/>
      <c r="C23" s="22">
        <f t="shared" si="0"/>
        <v>10</v>
      </c>
      <c r="D23" s="22"/>
      <c r="E23" s="53"/>
      <c r="F23" s="65"/>
      <c r="G23" s="23"/>
      <c r="H23" s="23"/>
      <c r="I23" s="23"/>
      <c r="J23" s="24"/>
      <c r="K23" s="23"/>
      <c r="L23" s="23"/>
      <c r="M23" s="23"/>
      <c r="N23" s="23"/>
      <c r="O23" s="23"/>
      <c r="P23" s="23"/>
      <c r="Q23" s="23"/>
      <c r="R23" s="25">
        <f t="shared" si="1"/>
        <v>0</v>
      </c>
      <c r="S23" s="25">
        <v>1</v>
      </c>
      <c r="T23" s="23">
        <v>1</v>
      </c>
      <c r="U23" s="26">
        <f t="shared" si="2"/>
        <v>0</v>
      </c>
    </row>
    <row r="24" spans="1:23" ht="16.5" customHeight="1" x14ac:dyDescent="0.2">
      <c r="A24" s="22">
        <f t="shared" si="3"/>
        <v>11</v>
      </c>
      <c r="B24" s="23"/>
      <c r="C24" s="22">
        <f t="shared" si="0"/>
        <v>11</v>
      </c>
      <c r="D24" s="22"/>
      <c r="E24" s="53"/>
      <c r="F24" s="65"/>
      <c r="G24" s="23"/>
      <c r="H24" s="23"/>
      <c r="I24" s="23"/>
      <c r="J24" s="24"/>
      <c r="K24" s="23"/>
      <c r="L24" s="23"/>
      <c r="M24" s="23"/>
      <c r="N24" s="23"/>
      <c r="O24" s="23"/>
      <c r="P24" s="23"/>
      <c r="Q24" s="23"/>
      <c r="R24" s="25">
        <f t="shared" si="1"/>
        <v>0</v>
      </c>
      <c r="S24" s="25">
        <v>1</v>
      </c>
      <c r="T24" s="23">
        <v>1</v>
      </c>
      <c r="U24" s="26">
        <f t="shared" si="2"/>
        <v>0</v>
      </c>
    </row>
    <row r="25" spans="1:23" ht="16.5" customHeight="1" x14ac:dyDescent="0.2">
      <c r="A25" s="22">
        <f t="shared" si="3"/>
        <v>12</v>
      </c>
      <c r="B25" s="23"/>
      <c r="C25" s="22">
        <f t="shared" si="0"/>
        <v>12</v>
      </c>
      <c r="D25" s="22"/>
      <c r="E25" s="53"/>
      <c r="F25" s="65"/>
      <c r="G25" s="23"/>
      <c r="H25" s="23"/>
      <c r="I25" s="23"/>
      <c r="J25" s="24"/>
      <c r="K25" s="23"/>
      <c r="L25" s="23"/>
      <c r="M25" s="23"/>
      <c r="N25" s="23"/>
      <c r="O25" s="23"/>
      <c r="P25" s="23"/>
      <c r="Q25" s="23"/>
      <c r="R25" s="25">
        <f t="shared" si="1"/>
        <v>0</v>
      </c>
      <c r="S25" s="25">
        <v>1</v>
      </c>
      <c r="T25" s="23">
        <v>1</v>
      </c>
      <c r="U25" s="26">
        <f t="shared" si="2"/>
        <v>0</v>
      </c>
      <c r="W25" s="13"/>
    </row>
    <row r="26" spans="1:23" ht="16.5" customHeight="1" x14ac:dyDescent="0.2">
      <c r="A26" s="22">
        <f t="shared" si="3"/>
        <v>13</v>
      </c>
      <c r="B26" s="23"/>
      <c r="C26" s="22">
        <f t="shared" si="0"/>
        <v>13</v>
      </c>
      <c r="D26" s="22"/>
      <c r="E26" s="53"/>
      <c r="F26" s="65"/>
      <c r="G26" s="23"/>
      <c r="H26" s="23"/>
      <c r="I26" s="23"/>
      <c r="J26" s="24"/>
      <c r="K26" s="23"/>
      <c r="L26" s="23"/>
      <c r="M26" s="23"/>
      <c r="N26" s="23"/>
      <c r="O26" s="23"/>
      <c r="P26" s="23"/>
      <c r="Q26" s="23"/>
      <c r="R26" s="25">
        <f t="shared" si="1"/>
        <v>0</v>
      </c>
      <c r="S26" s="25">
        <v>1</v>
      </c>
      <c r="T26" s="23">
        <v>1</v>
      </c>
      <c r="U26" s="26">
        <f t="shared" si="2"/>
        <v>0</v>
      </c>
    </row>
    <row r="27" spans="1:23" ht="16.5" customHeight="1" x14ac:dyDescent="0.2">
      <c r="A27" s="22">
        <f t="shared" si="3"/>
        <v>14</v>
      </c>
      <c r="B27" s="23"/>
      <c r="C27" s="22">
        <f t="shared" si="0"/>
        <v>14</v>
      </c>
      <c r="D27" s="22"/>
      <c r="E27" s="53"/>
      <c r="F27" s="65"/>
      <c r="G27" s="23"/>
      <c r="H27" s="23"/>
      <c r="I27" s="23"/>
      <c r="J27" s="24"/>
      <c r="K27" s="23"/>
      <c r="L27" s="23"/>
      <c r="M27" s="23"/>
      <c r="N27" s="23"/>
      <c r="O27" s="23"/>
      <c r="P27" s="23"/>
      <c r="Q27" s="23"/>
      <c r="R27" s="25">
        <f t="shared" si="1"/>
        <v>0</v>
      </c>
      <c r="S27" s="25">
        <v>1</v>
      </c>
      <c r="T27" s="23">
        <v>1</v>
      </c>
      <c r="U27" s="26">
        <f t="shared" si="2"/>
        <v>0</v>
      </c>
    </row>
    <row r="28" spans="1:23" ht="16.5" customHeight="1" x14ac:dyDescent="0.2">
      <c r="A28" s="22">
        <f t="shared" si="3"/>
        <v>15</v>
      </c>
      <c r="B28" s="23"/>
      <c r="C28" s="22">
        <f t="shared" si="0"/>
        <v>15</v>
      </c>
      <c r="D28" s="22"/>
      <c r="E28" s="53"/>
      <c r="F28" s="65"/>
      <c r="G28" s="23"/>
      <c r="H28" s="23"/>
      <c r="I28" s="23"/>
      <c r="J28" s="24"/>
      <c r="K28" s="23"/>
      <c r="L28" s="23"/>
      <c r="M28" s="23"/>
      <c r="N28" s="23"/>
      <c r="O28" s="23"/>
      <c r="P28" s="23"/>
      <c r="Q28" s="23"/>
      <c r="R28" s="25">
        <f t="shared" si="1"/>
        <v>0</v>
      </c>
      <c r="S28" s="25">
        <v>1</v>
      </c>
      <c r="T28" s="23">
        <v>1</v>
      </c>
      <c r="U28" s="26">
        <f t="shared" si="2"/>
        <v>0</v>
      </c>
    </row>
    <row r="29" spans="1:23" ht="16.5" customHeight="1" x14ac:dyDescent="0.2">
      <c r="A29" s="22">
        <f t="shared" si="3"/>
        <v>16</v>
      </c>
      <c r="B29" s="23"/>
      <c r="C29" s="22">
        <f t="shared" si="0"/>
        <v>16</v>
      </c>
      <c r="D29" s="22"/>
      <c r="E29" s="53"/>
      <c r="F29" s="65"/>
      <c r="G29" s="23"/>
      <c r="H29" s="23"/>
      <c r="I29" s="23"/>
      <c r="J29" s="24"/>
      <c r="K29" s="23"/>
      <c r="L29" s="23"/>
      <c r="M29" s="23"/>
      <c r="N29" s="23"/>
      <c r="O29" s="23"/>
      <c r="P29" s="23"/>
      <c r="Q29" s="23"/>
      <c r="R29" s="25">
        <f t="shared" si="1"/>
        <v>0</v>
      </c>
      <c r="S29" s="25">
        <v>1</v>
      </c>
      <c r="T29" s="23">
        <v>1</v>
      </c>
      <c r="U29" s="26">
        <f t="shared" si="2"/>
        <v>0</v>
      </c>
    </row>
    <row r="30" spans="1:23" ht="16.5" customHeight="1" x14ac:dyDescent="0.2">
      <c r="A30" s="22">
        <f t="shared" si="3"/>
        <v>17</v>
      </c>
      <c r="B30" s="23"/>
      <c r="C30" s="22">
        <f t="shared" si="0"/>
        <v>17</v>
      </c>
      <c r="D30" s="22"/>
      <c r="E30" s="53"/>
      <c r="F30" s="65"/>
      <c r="G30" s="23"/>
      <c r="H30" s="23"/>
      <c r="I30" s="23"/>
      <c r="J30" s="24"/>
      <c r="K30" s="23"/>
      <c r="L30" s="23"/>
      <c r="M30" s="23"/>
      <c r="N30" s="23"/>
      <c r="O30" s="23"/>
      <c r="P30" s="23"/>
      <c r="Q30" s="23"/>
      <c r="R30" s="25">
        <f t="shared" si="1"/>
        <v>0</v>
      </c>
      <c r="S30" s="25">
        <v>1</v>
      </c>
      <c r="T30" s="23">
        <v>1</v>
      </c>
      <c r="U30" s="26">
        <f t="shared" si="2"/>
        <v>0</v>
      </c>
    </row>
    <row r="31" spans="1:23" ht="16.5" customHeight="1" x14ac:dyDescent="0.2">
      <c r="A31" s="22">
        <f t="shared" si="3"/>
        <v>18</v>
      </c>
      <c r="B31" s="23"/>
      <c r="C31" s="22">
        <f t="shared" si="0"/>
        <v>18</v>
      </c>
      <c r="D31" s="22"/>
      <c r="E31" s="53"/>
      <c r="F31" s="65"/>
      <c r="G31" s="23"/>
      <c r="H31" s="23"/>
      <c r="I31" s="23"/>
      <c r="J31" s="24"/>
      <c r="K31" s="23"/>
      <c r="L31" s="23"/>
      <c r="M31" s="23"/>
      <c r="N31" s="23"/>
      <c r="O31" s="23"/>
      <c r="P31" s="23"/>
      <c r="Q31" s="23"/>
      <c r="R31" s="25">
        <f t="shared" si="1"/>
        <v>0</v>
      </c>
      <c r="S31" s="25">
        <v>1</v>
      </c>
      <c r="T31" s="23">
        <v>1</v>
      </c>
      <c r="U31" s="26">
        <f t="shared" si="2"/>
        <v>0</v>
      </c>
    </row>
    <row r="32" spans="1:23" ht="15" customHeight="1" x14ac:dyDescent="0.2">
      <c r="A32" s="73"/>
      <c r="B32" s="74"/>
      <c r="C32" s="75"/>
      <c r="D32" s="27"/>
      <c r="E32" s="54"/>
      <c r="F32" s="66"/>
      <c r="G32" s="61" t="s">
        <v>9</v>
      </c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3"/>
      <c r="T32" s="23">
        <f>SUM(T14:T31)</f>
        <v>18</v>
      </c>
      <c r="U32" s="26">
        <f>SUM(U14:U31)</f>
        <v>0</v>
      </c>
    </row>
    <row r="33" spans="1:23" ht="13.5" customHeight="1" thickBot="1" x14ac:dyDescent="0.25">
      <c r="A33" s="67" t="s">
        <v>9</v>
      </c>
      <c r="B33" s="68"/>
      <c r="C33" s="69"/>
      <c r="D33" s="11"/>
      <c r="E33" s="11"/>
      <c r="F33" s="10"/>
      <c r="G33" s="9"/>
      <c r="H33" s="9"/>
      <c r="I33" s="9"/>
      <c r="J33" s="12"/>
      <c r="K33" s="9"/>
      <c r="L33" s="9"/>
      <c r="M33" s="9"/>
      <c r="N33" s="12"/>
      <c r="O33" s="12"/>
      <c r="P33" s="12"/>
      <c r="Q33" s="12"/>
      <c r="R33" s="9"/>
      <c r="S33" s="9"/>
      <c r="T33" s="39">
        <f>+T32</f>
        <v>18</v>
      </c>
      <c r="U33" s="40">
        <f>+U32</f>
        <v>0</v>
      </c>
    </row>
    <row r="34" spans="1:23" ht="13.8" thickBot="1" x14ac:dyDescent="0.25"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23" x14ac:dyDescent="0.2">
      <c r="A35" s="70" t="s">
        <v>1</v>
      </c>
      <c r="B35" s="71"/>
      <c r="C35" s="72"/>
      <c r="D35" s="20"/>
      <c r="E35" s="20" t="s">
        <v>2</v>
      </c>
      <c r="F35" s="20" t="s">
        <v>3</v>
      </c>
      <c r="G35" s="20" t="str">
        <f>G$13</f>
        <v>G13</v>
      </c>
      <c r="H35" s="20" t="str">
        <f t="shared" ref="H35:Q35" si="4">H$13</f>
        <v>H13</v>
      </c>
      <c r="I35" s="20" t="str">
        <f t="shared" si="4"/>
        <v>I13</v>
      </c>
      <c r="J35" s="20" t="str">
        <f t="shared" si="4"/>
        <v>J13</v>
      </c>
      <c r="K35" s="20" t="str">
        <f t="shared" si="4"/>
        <v>K13</v>
      </c>
      <c r="L35" s="20" t="str">
        <f t="shared" si="4"/>
        <v>L13</v>
      </c>
      <c r="M35" s="20" t="str">
        <f t="shared" si="4"/>
        <v>M13</v>
      </c>
      <c r="N35" s="20" t="str">
        <f t="shared" si="4"/>
        <v>N13</v>
      </c>
      <c r="O35" s="20" t="str">
        <f t="shared" si="4"/>
        <v>O13</v>
      </c>
      <c r="P35" s="20" t="str">
        <f t="shared" si="4"/>
        <v>P13</v>
      </c>
      <c r="Q35" s="20" t="str">
        <f t="shared" si="4"/>
        <v>Q13</v>
      </c>
      <c r="R35" s="20" t="s">
        <v>5</v>
      </c>
      <c r="S35" s="20" t="s">
        <v>6</v>
      </c>
      <c r="T35" s="20" t="s">
        <v>7</v>
      </c>
      <c r="U35" s="21" t="s">
        <v>8</v>
      </c>
    </row>
    <row r="36" spans="1:23" ht="16.5" customHeight="1" x14ac:dyDescent="0.2">
      <c r="A36" s="22">
        <v>1</v>
      </c>
      <c r="B36" s="23"/>
      <c r="C36" s="22">
        <f>A36-1+T36</f>
        <v>1</v>
      </c>
      <c r="D36" s="22"/>
      <c r="E36" s="52" t="s">
        <v>41</v>
      </c>
      <c r="F36" s="64"/>
      <c r="G36" s="23"/>
      <c r="H36" s="23"/>
      <c r="I36" s="23"/>
      <c r="J36" s="24"/>
      <c r="K36" s="23"/>
      <c r="L36" s="23"/>
      <c r="M36" s="23"/>
      <c r="N36" s="23"/>
      <c r="O36" s="23"/>
      <c r="P36" s="23"/>
      <c r="Q36" s="23"/>
      <c r="R36" s="25">
        <f t="shared" ref="R36:R53" si="5">SUM(G36:Q36)</f>
        <v>0</v>
      </c>
      <c r="S36" s="25">
        <v>1</v>
      </c>
      <c r="T36" s="23">
        <v>1</v>
      </c>
      <c r="U36" s="26">
        <f>R36*S36*T36</f>
        <v>0</v>
      </c>
    </row>
    <row r="37" spans="1:23" ht="16.5" customHeight="1" x14ac:dyDescent="0.2">
      <c r="A37" s="22">
        <f>C36+1</f>
        <v>2</v>
      </c>
      <c r="B37" s="23"/>
      <c r="C37" s="22">
        <f t="shared" ref="C37:C53" si="6">A37-1+T37</f>
        <v>2</v>
      </c>
      <c r="D37" s="22"/>
      <c r="E37" s="53"/>
      <c r="F37" s="65"/>
      <c r="G37" s="23"/>
      <c r="H37" s="23"/>
      <c r="I37" s="23"/>
      <c r="J37" s="24"/>
      <c r="K37" s="23"/>
      <c r="L37" s="23"/>
      <c r="M37" s="23"/>
      <c r="N37" s="23"/>
      <c r="O37" s="23"/>
      <c r="P37" s="23"/>
      <c r="Q37" s="23"/>
      <c r="R37" s="25">
        <f t="shared" si="5"/>
        <v>0</v>
      </c>
      <c r="S37" s="25">
        <v>1</v>
      </c>
      <c r="T37" s="23">
        <v>1</v>
      </c>
      <c r="U37" s="26">
        <f t="shared" ref="U37:U53" si="7">R37*S37*T37</f>
        <v>0</v>
      </c>
      <c r="W37" s="16"/>
    </row>
    <row r="38" spans="1:23" ht="16.5" customHeight="1" x14ac:dyDescent="0.2">
      <c r="A38" s="22">
        <f t="shared" ref="A38:A53" si="8">C37+1</f>
        <v>3</v>
      </c>
      <c r="B38" s="23"/>
      <c r="C38" s="22">
        <f t="shared" si="6"/>
        <v>3</v>
      </c>
      <c r="D38" s="22"/>
      <c r="E38" s="53"/>
      <c r="F38" s="65"/>
      <c r="G38" s="23"/>
      <c r="H38" s="23"/>
      <c r="I38" s="23"/>
      <c r="J38" s="24"/>
      <c r="K38" s="23"/>
      <c r="L38" s="23"/>
      <c r="M38" s="23"/>
      <c r="N38" s="23"/>
      <c r="O38" s="23"/>
      <c r="P38" s="23"/>
      <c r="Q38" s="23"/>
      <c r="R38" s="25">
        <f t="shared" si="5"/>
        <v>0</v>
      </c>
      <c r="S38" s="25">
        <v>1</v>
      </c>
      <c r="T38" s="23">
        <v>1</v>
      </c>
      <c r="U38" s="26">
        <f t="shared" si="7"/>
        <v>0</v>
      </c>
      <c r="W38" s="13"/>
    </row>
    <row r="39" spans="1:23" ht="16.5" customHeight="1" x14ac:dyDescent="0.2">
      <c r="A39" s="22">
        <f t="shared" si="8"/>
        <v>4</v>
      </c>
      <c r="B39" s="23"/>
      <c r="C39" s="22">
        <f t="shared" si="6"/>
        <v>4</v>
      </c>
      <c r="D39" s="22"/>
      <c r="E39" s="53"/>
      <c r="F39" s="65"/>
      <c r="G39" s="23"/>
      <c r="H39" s="23"/>
      <c r="I39" s="23"/>
      <c r="J39" s="24"/>
      <c r="K39" s="23"/>
      <c r="L39" s="23"/>
      <c r="M39" s="23"/>
      <c r="N39" s="23"/>
      <c r="O39" s="23"/>
      <c r="P39" s="23"/>
      <c r="Q39" s="23"/>
      <c r="R39" s="25">
        <f t="shared" si="5"/>
        <v>0</v>
      </c>
      <c r="S39" s="25">
        <v>1</v>
      </c>
      <c r="T39" s="23">
        <v>1</v>
      </c>
      <c r="U39" s="26">
        <f t="shared" si="7"/>
        <v>0</v>
      </c>
      <c r="W39" s="13"/>
    </row>
    <row r="40" spans="1:23" ht="16.5" customHeight="1" x14ac:dyDescent="0.2">
      <c r="A40" s="22">
        <f t="shared" si="8"/>
        <v>5</v>
      </c>
      <c r="B40" s="23"/>
      <c r="C40" s="22">
        <f t="shared" si="6"/>
        <v>5</v>
      </c>
      <c r="D40" s="22"/>
      <c r="E40" s="53"/>
      <c r="F40" s="65"/>
      <c r="G40" s="23"/>
      <c r="H40" s="23"/>
      <c r="I40" s="23"/>
      <c r="J40" s="24"/>
      <c r="K40" s="23"/>
      <c r="L40" s="23"/>
      <c r="M40" s="23"/>
      <c r="N40" s="23"/>
      <c r="O40" s="23"/>
      <c r="P40" s="23"/>
      <c r="Q40" s="23"/>
      <c r="R40" s="25">
        <f t="shared" si="5"/>
        <v>0</v>
      </c>
      <c r="S40" s="25">
        <v>1</v>
      </c>
      <c r="T40" s="23">
        <v>1</v>
      </c>
      <c r="U40" s="26">
        <f t="shared" si="7"/>
        <v>0</v>
      </c>
      <c r="W40" s="13"/>
    </row>
    <row r="41" spans="1:23" ht="16.5" customHeight="1" x14ac:dyDescent="0.2">
      <c r="A41" s="22">
        <f t="shared" si="8"/>
        <v>6</v>
      </c>
      <c r="B41" s="23"/>
      <c r="C41" s="22">
        <f t="shared" si="6"/>
        <v>6</v>
      </c>
      <c r="D41" s="22"/>
      <c r="E41" s="53"/>
      <c r="F41" s="65"/>
      <c r="G41" s="23"/>
      <c r="H41" s="23"/>
      <c r="I41" s="23"/>
      <c r="J41" s="24"/>
      <c r="K41" s="23"/>
      <c r="L41" s="23"/>
      <c r="M41" s="23"/>
      <c r="N41" s="23"/>
      <c r="O41" s="23"/>
      <c r="P41" s="23"/>
      <c r="Q41" s="23"/>
      <c r="R41" s="25">
        <f t="shared" si="5"/>
        <v>0</v>
      </c>
      <c r="S41" s="25">
        <v>1</v>
      </c>
      <c r="T41" s="23">
        <v>1</v>
      </c>
      <c r="U41" s="26">
        <f t="shared" si="7"/>
        <v>0</v>
      </c>
    </row>
    <row r="42" spans="1:23" ht="16.5" customHeight="1" x14ac:dyDescent="0.2">
      <c r="A42" s="22">
        <f t="shared" si="8"/>
        <v>7</v>
      </c>
      <c r="B42" s="23"/>
      <c r="C42" s="22">
        <f t="shared" si="6"/>
        <v>7</v>
      </c>
      <c r="D42" s="22"/>
      <c r="E42" s="53"/>
      <c r="F42" s="65"/>
      <c r="G42" s="23"/>
      <c r="H42" s="23"/>
      <c r="I42" s="23"/>
      <c r="J42" s="24"/>
      <c r="K42" s="23"/>
      <c r="L42" s="23"/>
      <c r="M42" s="23"/>
      <c r="N42" s="23"/>
      <c r="O42" s="23"/>
      <c r="P42" s="23"/>
      <c r="Q42" s="23"/>
      <c r="R42" s="25">
        <f t="shared" si="5"/>
        <v>0</v>
      </c>
      <c r="S42" s="25">
        <v>1</v>
      </c>
      <c r="T42" s="23">
        <v>1</v>
      </c>
      <c r="U42" s="26">
        <f t="shared" si="7"/>
        <v>0</v>
      </c>
    </row>
    <row r="43" spans="1:23" ht="16.5" customHeight="1" x14ac:dyDescent="0.2">
      <c r="A43" s="22">
        <f t="shared" si="8"/>
        <v>8</v>
      </c>
      <c r="B43" s="23"/>
      <c r="C43" s="22">
        <f t="shared" si="6"/>
        <v>8</v>
      </c>
      <c r="D43" s="22"/>
      <c r="E43" s="53"/>
      <c r="F43" s="65"/>
      <c r="G43" s="23"/>
      <c r="H43" s="23"/>
      <c r="I43" s="23"/>
      <c r="J43" s="24"/>
      <c r="K43" s="23"/>
      <c r="L43" s="23"/>
      <c r="M43" s="23"/>
      <c r="N43" s="23"/>
      <c r="O43" s="23"/>
      <c r="P43" s="23"/>
      <c r="Q43" s="23"/>
      <c r="R43" s="25">
        <f>SUM(G43:Q43)</f>
        <v>0</v>
      </c>
      <c r="S43" s="25">
        <v>1</v>
      </c>
      <c r="T43" s="23">
        <v>1</v>
      </c>
      <c r="U43" s="26">
        <f t="shared" si="7"/>
        <v>0</v>
      </c>
    </row>
    <row r="44" spans="1:23" ht="16.5" customHeight="1" x14ac:dyDescent="0.2">
      <c r="A44" s="22">
        <f t="shared" si="8"/>
        <v>9</v>
      </c>
      <c r="B44" s="23"/>
      <c r="C44" s="22">
        <f t="shared" si="6"/>
        <v>9</v>
      </c>
      <c r="D44" s="22"/>
      <c r="E44" s="53"/>
      <c r="F44" s="65"/>
      <c r="G44" s="23"/>
      <c r="H44" s="23"/>
      <c r="I44" s="23"/>
      <c r="J44" s="24"/>
      <c r="K44" s="23"/>
      <c r="L44" s="23"/>
      <c r="M44" s="23"/>
      <c r="N44" s="23"/>
      <c r="O44" s="23"/>
      <c r="P44" s="23"/>
      <c r="Q44" s="23"/>
      <c r="R44" s="25">
        <f t="shared" si="5"/>
        <v>0</v>
      </c>
      <c r="S44" s="25">
        <v>1</v>
      </c>
      <c r="T44" s="23">
        <v>1</v>
      </c>
      <c r="U44" s="26">
        <f t="shared" si="7"/>
        <v>0</v>
      </c>
    </row>
    <row r="45" spans="1:23" ht="16.5" customHeight="1" x14ac:dyDescent="0.2">
      <c r="A45" s="22">
        <f t="shared" si="8"/>
        <v>10</v>
      </c>
      <c r="B45" s="23"/>
      <c r="C45" s="22">
        <f t="shared" si="6"/>
        <v>10</v>
      </c>
      <c r="D45" s="22"/>
      <c r="E45" s="53"/>
      <c r="F45" s="65"/>
      <c r="G45" s="23"/>
      <c r="H45" s="23"/>
      <c r="I45" s="23"/>
      <c r="J45" s="24"/>
      <c r="K45" s="23"/>
      <c r="L45" s="23"/>
      <c r="M45" s="23"/>
      <c r="N45" s="23"/>
      <c r="O45" s="23"/>
      <c r="P45" s="23"/>
      <c r="Q45" s="23"/>
      <c r="R45" s="25">
        <f t="shared" si="5"/>
        <v>0</v>
      </c>
      <c r="S45" s="25">
        <v>1</v>
      </c>
      <c r="T45" s="23">
        <v>1</v>
      </c>
      <c r="U45" s="26">
        <f t="shared" si="7"/>
        <v>0</v>
      </c>
    </row>
    <row r="46" spans="1:23" ht="16.5" customHeight="1" x14ac:dyDescent="0.2">
      <c r="A46" s="22">
        <f t="shared" si="8"/>
        <v>11</v>
      </c>
      <c r="B46" s="23"/>
      <c r="C46" s="22">
        <f t="shared" si="6"/>
        <v>11</v>
      </c>
      <c r="D46" s="22"/>
      <c r="E46" s="53"/>
      <c r="F46" s="65"/>
      <c r="G46" s="23"/>
      <c r="H46" s="23"/>
      <c r="I46" s="23"/>
      <c r="J46" s="24"/>
      <c r="K46" s="23"/>
      <c r="L46" s="23"/>
      <c r="M46" s="23"/>
      <c r="N46" s="23"/>
      <c r="O46" s="23"/>
      <c r="P46" s="23"/>
      <c r="Q46" s="23"/>
      <c r="R46" s="25">
        <f t="shared" si="5"/>
        <v>0</v>
      </c>
      <c r="S46" s="25">
        <v>1</v>
      </c>
      <c r="T46" s="23">
        <v>1</v>
      </c>
      <c r="U46" s="26">
        <f t="shared" si="7"/>
        <v>0</v>
      </c>
    </row>
    <row r="47" spans="1:23" ht="16.5" customHeight="1" x14ac:dyDescent="0.2">
      <c r="A47" s="22">
        <f t="shared" si="8"/>
        <v>12</v>
      </c>
      <c r="B47" s="23"/>
      <c r="C47" s="22">
        <f t="shared" si="6"/>
        <v>12</v>
      </c>
      <c r="D47" s="22"/>
      <c r="E47" s="53"/>
      <c r="F47" s="65"/>
      <c r="G47" s="23"/>
      <c r="H47" s="23"/>
      <c r="I47" s="23"/>
      <c r="J47" s="24"/>
      <c r="K47" s="23"/>
      <c r="L47" s="23"/>
      <c r="M47" s="23"/>
      <c r="N47" s="23"/>
      <c r="O47" s="23"/>
      <c r="P47" s="23"/>
      <c r="Q47" s="23"/>
      <c r="R47" s="25">
        <f t="shared" si="5"/>
        <v>0</v>
      </c>
      <c r="S47" s="25">
        <v>1</v>
      </c>
      <c r="T47" s="23">
        <v>1</v>
      </c>
      <c r="U47" s="26">
        <f t="shared" si="7"/>
        <v>0</v>
      </c>
      <c r="W47" s="13"/>
    </row>
    <row r="48" spans="1:23" ht="16.5" customHeight="1" x14ac:dyDescent="0.2">
      <c r="A48" s="22">
        <f t="shared" si="8"/>
        <v>13</v>
      </c>
      <c r="B48" s="23"/>
      <c r="C48" s="22">
        <f t="shared" si="6"/>
        <v>13</v>
      </c>
      <c r="D48" s="22"/>
      <c r="E48" s="53"/>
      <c r="F48" s="65"/>
      <c r="G48" s="23"/>
      <c r="H48" s="23"/>
      <c r="I48" s="23"/>
      <c r="J48" s="24"/>
      <c r="K48" s="23"/>
      <c r="L48" s="23"/>
      <c r="M48" s="23"/>
      <c r="N48" s="23"/>
      <c r="O48" s="23"/>
      <c r="P48" s="23"/>
      <c r="Q48" s="23"/>
      <c r="R48" s="25">
        <f t="shared" si="5"/>
        <v>0</v>
      </c>
      <c r="S48" s="25">
        <v>1</v>
      </c>
      <c r="T48" s="23">
        <v>1</v>
      </c>
      <c r="U48" s="26">
        <f t="shared" si="7"/>
        <v>0</v>
      </c>
    </row>
    <row r="49" spans="1:23" ht="16.5" customHeight="1" x14ac:dyDescent="0.2">
      <c r="A49" s="22">
        <f t="shared" si="8"/>
        <v>14</v>
      </c>
      <c r="B49" s="23"/>
      <c r="C49" s="22">
        <f t="shared" si="6"/>
        <v>14</v>
      </c>
      <c r="D49" s="22"/>
      <c r="E49" s="53"/>
      <c r="F49" s="65"/>
      <c r="G49" s="23"/>
      <c r="H49" s="23"/>
      <c r="I49" s="23"/>
      <c r="J49" s="24"/>
      <c r="K49" s="23"/>
      <c r="L49" s="23"/>
      <c r="M49" s="23"/>
      <c r="N49" s="23"/>
      <c r="O49" s="23"/>
      <c r="P49" s="23"/>
      <c r="Q49" s="23"/>
      <c r="R49" s="25">
        <f t="shared" si="5"/>
        <v>0</v>
      </c>
      <c r="S49" s="25">
        <v>1</v>
      </c>
      <c r="T49" s="23">
        <v>1</v>
      </c>
      <c r="U49" s="26">
        <f t="shared" si="7"/>
        <v>0</v>
      </c>
    </row>
    <row r="50" spans="1:23" ht="16.5" customHeight="1" x14ac:dyDescent="0.2">
      <c r="A50" s="22">
        <f t="shared" si="8"/>
        <v>15</v>
      </c>
      <c r="B50" s="23"/>
      <c r="C50" s="22">
        <f t="shared" si="6"/>
        <v>15</v>
      </c>
      <c r="D50" s="22"/>
      <c r="E50" s="53"/>
      <c r="F50" s="65"/>
      <c r="G50" s="23"/>
      <c r="H50" s="23"/>
      <c r="I50" s="23"/>
      <c r="J50" s="24"/>
      <c r="K50" s="23"/>
      <c r="L50" s="23"/>
      <c r="M50" s="23"/>
      <c r="N50" s="23"/>
      <c r="O50" s="23"/>
      <c r="P50" s="23"/>
      <c r="Q50" s="23"/>
      <c r="R50" s="25">
        <f t="shared" si="5"/>
        <v>0</v>
      </c>
      <c r="S50" s="25">
        <v>1</v>
      </c>
      <c r="T50" s="23">
        <v>1</v>
      </c>
      <c r="U50" s="26">
        <f t="shared" si="7"/>
        <v>0</v>
      </c>
    </row>
    <row r="51" spans="1:23" ht="16.5" customHeight="1" x14ac:dyDescent="0.2">
      <c r="A51" s="22">
        <f t="shared" si="8"/>
        <v>16</v>
      </c>
      <c r="B51" s="23"/>
      <c r="C51" s="22">
        <f t="shared" si="6"/>
        <v>16</v>
      </c>
      <c r="D51" s="22"/>
      <c r="E51" s="53"/>
      <c r="F51" s="65"/>
      <c r="G51" s="23"/>
      <c r="H51" s="23"/>
      <c r="I51" s="23"/>
      <c r="J51" s="24"/>
      <c r="K51" s="23"/>
      <c r="L51" s="23"/>
      <c r="M51" s="23"/>
      <c r="N51" s="23"/>
      <c r="O51" s="23"/>
      <c r="P51" s="23"/>
      <c r="Q51" s="23"/>
      <c r="R51" s="25">
        <f t="shared" si="5"/>
        <v>0</v>
      </c>
      <c r="S51" s="25">
        <v>1</v>
      </c>
      <c r="T51" s="23">
        <v>1</v>
      </c>
      <c r="U51" s="26">
        <f t="shared" si="7"/>
        <v>0</v>
      </c>
    </row>
    <row r="52" spans="1:23" ht="16.5" customHeight="1" x14ac:dyDescent="0.2">
      <c r="A52" s="22">
        <f t="shared" si="8"/>
        <v>17</v>
      </c>
      <c r="B52" s="23"/>
      <c r="C52" s="22">
        <f t="shared" si="6"/>
        <v>17</v>
      </c>
      <c r="D52" s="22"/>
      <c r="E52" s="53"/>
      <c r="F52" s="65"/>
      <c r="G52" s="23"/>
      <c r="H52" s="23"/>
      <c r="I52" s="23"/>
      <c r="J52" s="24"/>
      <c r="K52" s="23"/>
      <c r="L52" s="23"/>
      <c r="M52" s="23"/>
      <c r="N52" s="23"/>
      <c r="O52" s="23"/>
      <c r="P52" s="23"/>
      <c r="Q52" s="23"/>
      <c r="R52" s="25">
        <f t="shared" si="5"/>
        <v>0</v>
      </c>
      <c r="S52" s="25">
        <v>1</v>
      </c>
      <c r="T52" s="23">
        <v>1</v>
      </c>
      <c r="U52" s="26">
        <f t="shared" si="7"/>
        <v>0</v>
      </c>
    </row>
    <row r="53" spans="1:23" ht="16.5" customHeight="1" x14ac:dyDescent="0.2">
      <c r="A53" s="22">
        <f t="shared" si="8"/>
        <v>18</v>
      </c>
      <c r="B53" s="23"/>
      <c r="C53" s="22">
        <f t="shared" si="6"/>
        <v>18</v>
      </c>
      <c r="D53" s="22"/>
      <c r="E53" s="53"/>
      <c r="F53" s="65"/>
      <c r="G53" s="23"/>
      <c r="H53" s="23"/>
      <c r="I53" s="23"/>
      <c r="J53" s="24"/>
      <c r="K53" s="23"/>
      <c r="L53" s="23"/>
      <c r="M53" s="23"/>
      <c r="N53" s="23"/>
      <c r="O53" s="23"/>
      <c r="P53" s="23"/>
      <c r="Q53" s="23"/>
      <c r="R53" s="25">
        <f t="shared" si="5"/>
        <v>0</v>
      </c>
      <c r="S53" s="25">
        <v>1</v>
      </c>
      <c r="T53" s="23">
        <v>1</v>
      </c>
      <c r="U53" s="26">
        <f t="shared" si="7"/>
        <v>0</v>
      </c>
    </row>
    <row r="54" spans="1:23" ht="15" customHeight="1" x14ac:dyDescent="0.2">
      <c r="A54" s="73"/>
      <c r="B54" s="74"/>
      <c r="C54" s="75"/>
      <c r="D54" s="27"/>
      <c r="E54" s="54"/>
      <c r="F54" s="66"/>
      <c r="G54" s="61" t="s">
        <v>9</v>
      </c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3"/>
      <c r="T54" s="23">
        <f>SUM(T36:T53)</f>
        <v>18</v>
      </c>
      <c r="U54" s="26">
        <f>SUM(U36:U53)</f>
        <v>0</v>
      </c>
    </row>
    <row r="55" spans="1:23" ht="13.5" customHeight="1" thickBot="1" x14ac:dyDescent="0.25">
      <c r="A55" s="67" t="s">
        <v>9</v>
      </c>
      <c r="B55" s="68"/>
      <c r="C55" s="69"/>
      <c r="D55" s="11"/>
      <c r="E55" s="11"/>
      <c r="F55" s="10"/>
      <c r="G55" s="9"/>
      <c r="H55" s="9"/>
      <c r="I55" s="9"/>
      <c r="J55" s="12"/>
      <c r="K55" s="9"/>
      <c r="L55" s="9"/>
      <c r="M55" s="9"/>
      <c r="N55" s="12"/>
      <c r="O55" s="12"/>
      <c r="P55" s="12"/>
      <c r="Q55" s="12"/>
      <c r="R55" s="9"/>
      <c r="S55" s="9"/>
      <c r="T55" s="39">
        <f>+T54</f>
        <v>18</v>
      </c>
      <c r="U55" s="40">
        <f>+U54</f>
        <v>0</v>
      </c>
    </row>
    <row r="56" spans="1:23" ht="13.8" thickBot="1" x14ac:dyDescent="0.25"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23" x14ac:dyDescent="0.2">
      <c r="A57" s="70" t="s">
        <v>1</v>
      </c>
      <c r="B57" s="71"/>
      <c r="C57" s="72"/>
      <c r="D57" s="20"/>
      <c r="E57" s="20" t="s">
        <v>2</v>
      </c>
      <c r="F57" s="20" t="s">
        <v>3</v>
      </c>
      <c r="G57" s="20" t="str">
        <f>G$13</f>
        <v>G13</v>
      </c>
      <c r="H57" s="20" t="str">
        <f t="shared" ref="H57:Q57" si="9">H$13</f>
        <v>H13</v>
      </c>
      <c r="I57" s="20" t="str">
        <f t="shared" si="9"/>
        <v>I13</v>
      </c>
      <c r="J57" s="20" t="str">
        <f t="shared" si="9"/>
        <v>J13</v>
      </c>
      <c r="K57" s="20" t="str">
        <f t="shared" si="9"/>
        <v>K13</v>
      </c>
      <c r="L57" s="20" t="str">
        <f t="shared" si="9"/>
        <v>L13</v>
      </c>
      <c r="M57" s="20" t="str">
        <f t="shared" si="9"/>
        <v>M13</v>
      </c>
      <c r="N57" s="20" t="str">
        <f t="shared" si="9"/>
        <v>N13</v>
      </c>
      <c r="O57" s="20" t="str">
        <f t="shared" si="9"/>
        <v>O13</v>
      </c>
      <c r="P57" s="20" t="str">
        <f t="shared" si="9"/>
        <v>P13</v>
      </c>
      <c r="Q57" s="20" t="str">
        <f t="shared" si="9"/>
        <v>Q13</v>
      </c>
      <c r="R57" s="20" t="s">
        <v>5</v>
      </c>
      <c r="S57" s="20" t="s">
        <v>6</v>
      </c>
      <c r="T57" s="20" t="s">
        <v>7</v>
      </c>
      <c r="U57" s="21" t="s">
        <v>8</v>
      </c>
    </row>
    <row r="58" spans="1:23" ht="16.5" customHeight="1" x14ac:dyDescent="0.2">
      <c r="A58" s="22">
        <v>1</v>
      </c>
      <c r="B58" s="23"/>
      <c r="C58" s="22">
        <f>A58-1+T58</f>
        <v>1</v>
      </c>
      <c r="D58" s="22"/>
      <c r="E58" s="52" t="s">
        <v>41</v>
      </c>
      <c r="F58" s="64"/>
      <c r="G58" s="23"/>
      <c r="H58" s="23"/>
      <c r="I58" s="23"/>
      <c r="J58" s="24"/>
      <c r="K58" s="23"/>
      <c r="L58" s="23"/>
      <c r="M58" s="23"/>
      <c r="N58" s="23"/>
      <c r="O58" s="23"/>
      <c r="P58" s="23"/>
      <c r="Q58" s="23"/>
      <c r="R58" s="25">
        <f>SUM(G58:Q58)</f>
        <v>0</v>
      </c>
      <c r="S58" s="25">
        <v>1</v>
      </c>
      <c r="T58" s="23">
        <v>1</v>
      </c>
      <c r="U58" s="26">
        <f>R58*S58*T58</f>
        <v>0</v>
      </c>
    </row>
    <row r="59" spans="1:23" ht="16.5" customHeight="1" x14ac:dyDescent="0.2">
      <c r="A59" s="22">
        <f>C58+1</f>
        <v>2</v>
      </c>
      <c r="B59" s="23"/>
      <c r="C59" s="22">
        <f t="shared" ref="C59:C75" si="10">A59-1+T59</f>
        <v>2</v>
      </c>
      <c r="D59" s="22"/>
      <c r="E59" s="53"/>
      <c r="F59" s="65"/>
      <c r="G59" s="23"/>
      <c r="H59" s="23"/>
      <c r="I59" s="23"/>
      <c r="J59" s="24"/>
      <c r="K59" s="23"/>
      <c r="L59" s="23"/>
      <c r="M59" s="23"/>
      <c r="N59" s="23"/>
      <c r="O59" s="23"/>
      <c r="P59" s="23"/>
      <c r="Q59" s="23"/>
      <c r="R59" s="25">
        <f t="shared" ref="R59:R75" si="11">SUM(G59:Q59)</f>
        <v>0</v>
      </c>
      <c r="S59" s="25">
        <v>1</v>
      </c>
      <c r="T59" s="23">
        <v>1</v>
      </c>
      <c r="U59" s="26">
        <f t="shared" ref="U59:U75" si="12">R59*S59*T59</f>
        <v>0</v>
      </c>
      <c r="W59" s="16"/>
    </row>
    <row r="60" spans="1:23" ht="16.5" customHeight="1" x14ac:dyDescent="0.2">
      <c r="A60" s="22">
        <f t="shared" ref="A60:A75" si="13">C59+1</f>
        <v>3</v>
      </c>
      <c r="B60" s="23"/>
      <c r="C60" s="22">
        <f t="shared" si="10"/>
        <v>3</v>
      </c>
      <c r="D60" s="22"/>
      <c r="E60" s="53"/>
      <c r="F60" s="65"/>
      <c r="G60" s="23"/>
      <c r="H60" s="23"/>
      <c r="I60" s="23"/>
      <c r="J60" s="24"/>
      <c r="K60" s="23"/>
      <c r="L60" s="23"/>
      <c r="M60" s="23"/>
      <c r="N60" s="23"/>
      <c r="O60" s="23"/>
      <c r="P60" s="23"/>
      <c r="Q60" s="23"/>
      <c r="R60" s="25">
        <f t="shared" si="11"/>
        <v>0</v>
      </c>
      <c r="S60" s="25">
        <v>1</v>
      </c>
      <c r="T60" s="23">
        <v>1</v>
      </c>
      <c r="U60" s="26">
        <f t="shared" si="12"/>
        <v>0</v>
      </c>
      <c r="W60" s="13"/>
    </row>
    <row r="61" spans="1:23" ht="16.5" customHeight="1" x14ac:dyDescent="0.2">
      <c r="A61" s="22">
        <f t="shared" si="13"/>
        <v>4</v>
      </c>
      <c r="B61" s="23"/>
      <c r="C61" s="22">
        <f t="shared" si="10"/>
        <v>4</v>
      </c>
      <c r="D61" s="22"/>
      <c r="E61" s="53"/>
      <c r="F61" s="65"/>
      <c r="G61" s="23"/>
      <c r="H61" s="23"/>
      <c r="I61" s="23"/>
      <c r="J61" s="24"/>
      <c r="K61" s="23"/>
      <c r="L61" s="23"/>
      <c r="M61" s="23"/>
      <c r="N61" s="23"/>
      <c r="O61" s="23"/>
      <c r="P61" s="23"/>
      <c r="Q61" s="23"/>
      <c r="R61" s="25">
        <f t="shared" si="11"/>
        <v>0</v>
      </c>
      <c r="S61" s="25">
        <v>1</v>
      </c>
      <c r="T61" s="23">
        <v>1</v>
      </c>
      <c r="U61" s="26">
        <f t="shared" si="12"/>
        <v>0</v>
      </c>
      <c r="W61" s="13"/>
    </row>
    <row r="62" spans="1:23" ht="16.5" customHeight="1" x14ac:dyDescent="0.2">
      <c r="A62" s="22">
        <f t="shared" si="13"/>
        <v>5</v>
      </c>
      <c r="B62" s="23"/>
      <c r="C62" s="22">
        <f t="shared" si="10"/>
        <v>5</v>
      </c>
      <c r="D62" s="22"/>
      <c r="E62" s="53"/>
      <c r="F62" s="65"/>
      <c r="G62" s="23"/>
      <c r="H62" s="23"/>
      <c r="I62" s="23"/>
      <c r="J62" s="24"/>
      <c r="K62" s="23"/>
      <c r="L62" s="23"/>
      <c r="M62" s="23"/>
      <c r="N62" s="23"/>
      <c r="O62" s="23"/>
      <c r="P62" s="23"/>
      <c r="Q62" s="23"/>
      <c r="R62" s="25">
        <f t="shared" si="11"/>
        <v>0</v>
      </c>
      <c r="S62" s="25">
        <v>1</v>
      </c>
      <c r="T62" s="23">
        <v>1</v>
      </c>
      <c r="U62" s="26">
        <f t="shared" si="12"/>
        <v>0</v>
      </c>
      <c r="W62" s="13"/>
    </row>
    <row r="63" spans="1:23" ht="16.5" customHeight="1" x14ac:dyDescent="0.2">
      <c r="A63" s="22">
        <f t="shared" si="13"/>
        <v>6</v>
      </c>
      <c r="B63" s="23"/>
      <c r="C63" s="22">
        <f t="shared" si="10"/>
        <v>6</v>
      </c>
      <c r="D63" s="22"/>
      <c r="E63" s="53"/>
      <c r="F63" s="65"/>
      <c r="G63" s="23"/>
      <c r="H63" s="23"/>
      <c r="I63" s="23"/>
      <c r="J63" s="24"/>
      <c r="K63" s="23"/>
      <c r="L63" s="23"/>
      <c r="M63" s="23"/>
      <c r="N63" s="23"/>
      <c r="O63" s="23"/>
      <c r="P63" s="23"/>
      <c r="Q63" s="23"/>
      <c r="R63" s="25">
        <f t="shared" si="11"/>
        <v>0</v>
      </c>
      <c r="S63" s="25">
        <v>1</v>
      </c>
      <c r="T63" s="23">
        <v>1</v>
      </c>
      <c r="U63" s="26">
        <f t="shared" si="12"/>
        <v>0</v>
      </c>
    </row>
    <row r="64" spans="1:23" ht="16.5" customHeight="1" x14ac:dyDescent="0.2">
      <c r="A64" s="22">
        <f t="shared" si="13"/>
        <v>7</v>
      </c>
      <c r="B64" s="23"/>
      <c r="C64" s="22">
        <f t="shared" si="10"/>
        <v>7</v>
      </c>
      <c r="D64" s="22"/>
      <c r="E64" s="53"/>
      <c r="F64" s="65"/>
      <c r="G64" s="23"/>
      <c r="H64" s="23"/>
      <c r="I64" s="23"/>
      <c r="J64" s="24"/>
      <c r="K64" s="23"/>
      <c r="L64" s="23"/>
      <c r="M64" s="23"/>
      <c r="N64" s="23"/>
      <c r="O64" s="23"/>
      <c r="P64" s="23"/>
      <c r="Q64" s="23"/>
      <c r="R64" s="25">
        <f t="shared" si="11"/>
        <v>0</v>
      </c>
      <c r="S64" s="25">
        <v>1</v>
      </c>
      <c r="T64" s="23">
        <v>1</v>
      </c>
      <c r="U64" s="26">
        <f t="shared" si="12"/>
        <v>0</v>
      </c>
    </row>
    <row r="65" spans="1:23" ht="16.5" customHeight="1" x14ac:dyDescent="0.2">
      <c r="A65" s="22">
        <f t="shared" si="13"/>
        <v>8</v>
      </c>
      <c r="B65" s="23"/>
      <c r="C65" s="22">
        <f t="shared" si="10"/>
        <v>8</v>
      </c>
      <c r="D65" s="22"/>
      <c r="E65" s="53"/>
      <c r="F65" s="65"/>
      <c r="G65" s="23"/>
      <c r="H65" s="23"/>
      <c r="I65" s="23"/>
      <c r="J65" s="24"/>
      <c r="K65" s="23"/>
      <c r="L65" s="23"/>
      <c r="M65" s="23"/>
      <c r="N65" s="23"/>
      <c r="O65" s="23"/>
      <c r="P65" s="23"/>
      <c r="Q65" s="23"/>
      <c r="R65" s="25">
        <f t="shared" si="11"/>
        <v>0</v>
      </c>
      <c r="S65" s="25">
        <v>1</v>
      </c>
      <c r="T65" s="23">
        <v>1</v>
      </c>
      <c r="U65" s="26">
        <f t="shared" si="12"/>
        <v>0</v>
      </c>
    </row>
    <row r="66" spans="1:23" ht="16.5" customHeight="1" x14ac:dyDescent="0.2">
      <c r="A66" s="22">
        <f t="shared" si="13"/>
        <v>9</v>
      </c>
      <c r="B66" s="23"/>
      <c r="C66" s="22">
        <f t="shared" si="10"/>
        <v>9</v>
      </c>
      <c r="D66" s="22"/>
      <c r="E66" s="53"/>
      <c r="F66" s="65"/>
      <c r="G66" s="23"/>
      <c r="H66" s="23"/>
      <c r="I66" s="23"/>
      <c r="J66" s="24"/>
      <c r="K66" s="23"/>
      <c r="L66" s="23"/>
      <c r="M66" s="23"/>
      <c r="N66" s="23"/>
      <c r="O66" s="23"/>
      <c r="P66" s="23"/>
      <c r="Q66" s="23"/>
      <c r="R66" s="25">
        <f t="shared" si="11"/>
        <v>0</v>
      </c>
      <c r="S66" s="25">
        <v>1</v>
      </c>
      <c r="T66" s="23">
        <v>1</v>
      </c>
      <c r="U66" s="26">
        <f t="shared" si="12"/>
        <v>0</v>
      </c>
    </row>
    <row r="67" spans="1:23" ht="16.5" customHeight="1" x14ac:dyDescent="0.2">
      <c r="A67" s="22">
        <f t="shared" si="13"/>
        <v>10</v>
      </c>
      <c r="B67" s="23"/>
      <c r="C67" s="22">
        <f t="shared" si="10"/>
        <v>10</v>
      </c>
      <c r="D67" s="22"/>
      <c r="E67" s="53"/>
      <c r="F67" s="65"/>
      <c r="G67" s="23"/>
      <c r="H67" s="23"/>
      <c r="I67" s="23"/>
      <c r="J67" s="24"/>
      <c r="K67" s="23"/>
      <c r="L67" s="23"/>
      <c r="M67" s="23"/>
      <c r="N67" s="23"/>
      <c r="O67" s="23"/>
      <c r="P67" s="23"/>
      <c r="Q67" s="23"/>
      <c r="R67" s="25">
        <f t="shared" si="11"/>
        <v>0</v>
      </c>
      <c r="S67" s="25">
        <v>1</v>
      </c>
      <c r="T67" s="23">
        <v>1</v>
      </c>
      <c r="U67" s="26">
        <f t="shared" si="12"/>
        <v>0</v>
      </c>
    </row>
    <row r="68" spans="1:23" ht="16.5" customHeight="1" x14ac:dyDescent="0.2">
      <c r="A68" s="22">
        <f t="shared" si="13"/>
        <v>11</v>
      </c>
      <c r="B68" s="23"/>
      <c r="C68" s="22">
        <f t="shared" si="10"/>
        <v>11</v>
      </c>
      <c r="D68" s="22"/>
      <c r="E68" s="53"/>
      <c r="F68" s="65"/>
      <c r="G68" s="23"/>
      <c r="H68" s="23"/>
      <c r="I68" s="23"/>
      <c r="J68" s="24"/>
      <c r="K68" s="23"/>
      <c r="L68" s="23"/>
      <c r="M68" s="23"/>
      <c r="N68" s="23"/>
      <c r="O68" s="23"/>
      <c r="P68" s="23"/>
      <c r="Q68" s="23"/>
      <c r="R68" s="25">
        <f t="shared" si="11"/>
        <v>0</v>
      </c>
      <c r="S68" s="25">
        <v>1</v>
      </c>
      <c r="T68" s="23">
        <v>1</v>
      </c>
      <c r="U68" s="26">
        <f t="shared" si="12"/>
        <v>0</v>
      </c>
    </row>
    <row r="69" spans="1:23" ht="16.5" customHeight="1" x14ac:dyDescent="0.2">
      <c r="A69" s="22">
        <f t="shared" si="13"/>
        <v>12</v>
      </c>
      <c r="B69" s="23"/>
      <c r="C69" s="22">
        <f t="shared" si="10"/>
        <v>12</v>
      </c>
      <c r="D69" s="22"/>
      <c r="E69" s="53"/>
      <c r="F69" s="65"/>
      <c r="G69" s="23"/>
      <c r="H69" s="23"/>
      <c r="I69" s="23"/>
      <c r="J69" s="24"/>
      <c r="K69" s="23"/>
      <c r="L69" s="23"/>
      <c r="M69" s="23"/>
      <c r="N69" s="23"/>
      <c r="O69" s="23"/>
      <c r="P69" s="23"/>
      <c r="Q69" s="23"/>
      <c r="R69" s="25">
        <f t="shared" si="11"/>
        <v>0</v>
      </c>
      <c r="S69" s="25">
        <v>1</v>
      </c>
      <c r="T69" s="23">
        <v>1</v>
      </c>
      <c r="U69" s="26">
        <f t="shared" si="12"/>
        <v>0</v>
      </c>
      <c r="W69" s="13"/>
    </row>
    <row r="70" spans="1:23" ht="16.5" customHeight="1" x14ac:dyDescent="0.2">
      <c r="A70" s="22">
        <f t="shared" si="13"/>
        <v>13</v>
      </c>
      <c r="B70" s="23"/>
      <c r="C70" s="22">
        <f t="shared" si="10"/>
        <v>13</v>
      </c>
      <c r="D70" s="22"/>
      <c r="E70" s="53"/>
      <c r="F70" s="65"/>
      <c r="G70" s="23"/>
      <c r="H70" s="23"/>
      <c r="I70" s="23"/>
      <c r="J70" s="24"/>
      <c r="K70" s="23"/>
      <c r="L70" s="23"/>
      <c r="M70" s="23"/>
      <c r="N70" s="23"/>
      <c r="O70" s="23"/>
      <c r="P70" s="23"/>
      <c r="Q70" s="23"/>
      <c r="R70" s="25">
        <f t="shared" si="11"/>
        <v>0</v>
      </c>
      <c r="S70" s="25">
        <v>1</v>
      </c>
      <c r="T70" s="23">
        <v>1</v>
      </c>
      <c r="U70" s="26">
        <f t="shared" si="12"/>
        <v>0</v>
      </c>
    </row>
    <row r="71" spans="1:23" ht="16.5" customHeight="1" x14ac:dyDescent="0.2">
      <c r="A71" s="22">
        <f t="shared" si="13"/>
        <v>14</v>
      </c>
      <c r="B71" s="23"/>
      <c r="C71" s="22">
        <f t="shared" si="10"/>
        <v>14</v>
      </c>
      <c r="D71" s="22"/>
      <c r="E71" s="53"/>
      <c r="F71" s="65"/>
      <c r="G71" s="23"/>
      <c r="H71" s="23"/>
      <c r="I71" s="23"/>
      <c r="J71" s="24"/>
      <c r="K71" s="23"/>
      <c r="L71" s="23"/>
      <c r="M71" s="23"/>
      <c r="N71" s="23"/>
      <c r="O71" s="23"/>
      <c r="P71" s="23"/>
      <c r="Q71" s="23"/>
      <c r="R71" s="25">
        <f t="shared" si="11"/>
        <v>0</v>
      </c>
      <c r="S71" s="25">
        <v>1</v>
      </c>
      <c r="T71" s="23">
        <v>1</v>
      </c>
      <c r="U71" s="26">
        <f t="shared" si="12"/>
        <v>0</v>
      </c>
    </row>
    <row r="72" spans="1:23" ht="16.5" customHeight="1" x14ac:dyDescent="0.2">
      <c r="A72" s="22">
        <f t="shared" si="13"/>
        <v>15</v>
      </c>
      <c r="B72" s="23"/>
      <c r="C72" s="22">
        <f t="shared" si="10"/>
        <v>15</v>
      </c>
      <c r="D72" s="22"/>
      <c r="E72" s="53"/>
      <c r="F72" s="65"/>
      <c r="G72" s="23"/>
      <c r="H72" s="23"/>
      <c r="I72" s="23"/>
      <c r="J72" s="24"/>
      <c r="K72" s="23"/>
      <c r="L72" s="23"/>
      <c r="M72" s="23"/>
      <c r="N72" s="23"/>
      <c r="O72" s="23"/>
      <c r="P72" s="23"/>
      <c r="Q72" s="23"/>
      <c r="R72" s="25">
        <f t="shared" si="11"/>
        <v>0</v>
      </c>
      <c r="S72" s="25">
        <v>1</v>
      </c>
      <c r="T72" s="23">
        <v>1</v>
      </c>
      <c r="U72" s="26">
        <f t="shared" si="12"/>
        <v>0</v>
      </c>
    </row>
    <row r="73" spans="1:23" ht="16.5" customHeight="1" x14ac:dyDescent="0.2">
      <c r="A73" s="22">
        <f t="shared" si="13"/>
        <v>16</v>
      </c>
      <c r="B73" s="23"/>
      <c r="C73" s="22">
        <f t="shared" si="10"/>
        <v>16</v>
      </c>
      <c r="D73" s="22"/>
      <c r="E73" s="53"/>
      <c r="F73" s="65"/>
      <c r="G73" s="23"/>
      <c r="H73" s="23"/>
      <c r="I73" s="23"/>
      <c r="J73" s="24"/>
      <c r="K73" s="23"/>
      <c r="L73" s="23"/>
      <c r="M73" s="23"/>
      <c r="N73" s="23"/>
      <c r="O73" s="23"/>
      <c r="P73" s="23"/>
      <c r="Q73" s="23"/>
      <c r="R73" s="25">
        <f t="shared" si="11"/>
        <v>0</v>
      </c>
      <c r="S73" s="25">
        <v>1</v>
      </c>
      <c r="T73" s="23">
        <v>1</v>
      </c>
      <c r="U73" s="26">
        <f t="shared" si="12"/>
        <v>0</v>
      </c>
    </row>
    <row r="74" spans="1:23" ht="16.5" customHeight="1" x14ac:dyDescent="0.2">
      <c r="A74" s="22">
        <f t="shared" si="13"/>
        <v>17</v>
      </c>
      <c r="B74" s="23"/>
      <c r="C74" s="22">
        <f t="shared" si="10"/>
        <v>17</v>
      </c>
      <c r="D74" s="22"/>
      <c r="E74" s="53"/>
      <c r="F74" s="65"/>
      <c r="G74" s="23"/>
      <c r="H74" s="23"/>
      <c r="I74" s="23"/>
      <c r="J74" s="24"/>
      <c r="K74" s="23"/>
      <c r="L74" s="23"/>
      <c r="M74" s="23"/>
      <c r="N74" s="23"/>
      <c r="O74" s="23"/>
      <c r="P74" s="23"/>
      <c r="Q74" s="23"/>
      <c r="R74" s="25">
        <f t="shared" si="11"/>
        <v>0</v>
      </c>
      <c r="S74" s="25">
        <v>1</v>
      </c>
      <c r="T74" s="23">
        <v>1</v>
      </c>
      <c r="U74" s="26">
        <f t="shared" si="12"/>
        <v>0</v>
      </c>
    </row>
    <row r="75" spans="1:23" ht="16.5" customHeight="1" x14ac:dyDescent="0.2">
      <c r="A75" s="22">
        <f t="shared" si="13"/>
        <v>18</v>
      </c>
      <c r="B75" s="23"/>
      <c r="C75" s="22">
        <f t="shared" si="10"/>
        <v>18</v>
      </c>
      <c r="D75" s="22"/>
      <c r="E75" s="53"/>
      <c r="F75" s="65"/>
      <c r="G75" s="23"/>
      <c r="H75" s="23"/>
      <c r="I75" s="23"/>
      <c r="J75" s="24"/>
      <c r="K75" s="23"/>
      <c r="L75" s="23"/>
      <c r="M75" s="23"/>
      <c r="N75" s="23"/>
      <c r="O75" s="23"/>
      <c r="P75" s="23"/>
      <c r="Q75" s="23"/>
      <c r="R75" s="25">
        <f t="shared" si="11"/>
        <v>0</v>
      </c>
      <c r="S75" s="25">
        <v>1</v>
      </c>
      <c r="T75" s="23">
        <v>1</v>
      </c>
      <c r="U75" s="26">
        <f t="shared" si="12"/>
        <v>0</v>
      </c>
    </row>
    <row r="76" spans="1:23" ht="15" customHeight="1" x14ac:dyDescent="0.2">
      <c r="A76" s="73"/>
      <c r="B76" s="74"/>
      <c r="C76" s="75"/>
      <c r="D76" s="27"/>
      <c r="E76" s="54"/>
      <c r="F76" s="66"/>
      <c r="G76" s="61" t="s">
        <v>9</v>
      </c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3"/>
      <c r="T76" s="23">
        <f>SUM(T58:T75)</f>
        <v>18</v>
      </c>
      <c r="U76" s="26">
        <f>SUM(U58:U75)</f>
        <v>0</v>
      </c>
    </row>
    <row r="77" spans="1:23" ht="13.5" customHeight="1" thickBot="1" x14ac:dyDescent="0.25">
      <c r="A77" s="67" t="s">
        <v>9</v>
      </c>
      <c r="B77" s="68"/>
      <c r="C77" s="69"/>
      <c r="D77" s="11"/>
      <c r="E77" s="11"/>
      <c r="F77" s="10"/>
      <c r="G77" s="9"/>
      <c r="H77" s="9"/>
      <c r="I77" s="9"/>
      <c r="J77" s="12"/>
      <c r="K77" s="9"/>
      <c r="L77" s="9"/>
      <c r="M77" s="9"/>
      <c r="N77" s="12"/>
      <c r="O77" s="12"/>
      <c r="P77" s="12"/>
      <c r="Q77" s="12"/>
      <c r="R77" s="9"/>
      <c r="S77" s="9"/>
      <c r="T77" s="39">
        <f>+T76</f>
        <v>18</v>
      </c>
      <c r="U77" s="40">
        <f>+U76</f>
        <v>0</v>
      </c>
    </row>
    <row r="78" spans="1:23" ht="13.8" thickBot="1" x14ac:dyDescent="0.25"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23" x14ac:dyDescent="0.2">
      <c r="A79" s="70" t="s">
        <v>1</v>
      </c>
      <c r="B79" s="71"/>
      <c r="C79" s="72"/>
      <c r="D79" s="20"/>
      <c r="E79" s="20" t="s">
        <v>2</v>
      </c>
      <c r="F79" s="20" t="s">
        <v>3</v>
      </c>
      <c r="G79" s="20" t="str">
        <f>G$13</f>
        <v>G13</v>
      </c>
      <c r="H79" s="20" t="str">
        <f t="shared" ref="H79:Q79" si="14">H$13</f>
        <v>H13</v>
      </c>
      <c r="I79" s="20" t="str">
        <f t="shared" si="14"/>
        <v>I13</v>
      </c>
      <c r="J79" s="20" t="str">
        <f t="shared" si="14"/>
        <v>J13</v>
      </c>
      <c r="K79" s="20" t="str">
        <f t="shared" si="14"/>
        <v>K13</v>
      </c>
      <c r="L79" s="20" t="str">
        <f t="shared" si="14"/>
        <v>L13</v>
      </c>
      <c r="M79" s="20" t="str">
        <f t="shared" si="14"/>
        <v>M13</v>
      </c>
      <c r="N79" s="20" t="str">
        <f t="shared" si="14"/>
        <v>N13</v>
      </c>
      <c r="O79" s="20" t="str">
        <f t="shared" si="14"/>
        <v>O13</v>
      </c>
      <c r="P79" s="20" t="str">
        <f t="shared" si="14"/>
        <v>P13</v>
      </c>
      <c r="Q79" s="20" t="str">
        <f t="shared" si="14"/>
        <v>Q13</v>
      </c>
      <c r="R79" s="20" t="s">
        <v>5</v>
      </c>
      <c r="S79" s="20" t="s">
        <v>6</v>
      </c>
      <c r="T79" s="20" t="s">
        <v>7</v>
      </c>
      <c r="U79" s="21" t="s">
        <v>8</v>
      </c>
    </row>
    <row r="80" spans="1:23" ht="16.5" customHeight="1" x14ac:dyDescent="0.2">
      <c r="A80" s="22">
        <v>1</v>
      </c>
      <c r="B80" s="23"/>
      <c r="C80" s="22">
        <f>A80-1+T80</f>
        <v>1</v>
      </c>
      <c r="D80" s="22"/>
      <c r="E80" s="52" t="s">
        <v>41</v>
      </c>
      <c r="F80" s="64"/>
      <c r="G80" s="23"/>
      <c r="H80" s="23"/>
      <c r="I80" s="23"/>
      <c r="J80" s="24"/>
      <c r="K80" s="23"/>
      <c r="L80" s="23"/>
      <c r="M80" s="23"/>
      <c r="N80" s="23"/>
      <c r="O80" s="23"/>
      <c r="P80" s="23"/>
      <c r="Q80" s="23"/>
      <c r="R80" s="25">
        <f t="shared" ref="R80:R97" si="15">SUM(G80:Q80)</f>
        <v>0</v>
      </c>
      <c r="S80" s="25">
        <v>1</v>
      </c>
      <c r="T80" s="23">
        <v>1</v>
      </c>
      <c r="U80" s="26">
        <f>R80*S80*T80</f>
        <v>0</v>
      </c>
    </row>
    <row r="81" spans="1:23" ht="16.5" customHeight="1" x14ac:dyDescent="0.2">
      <c r="A81" s="22">
        <f>C80+1</f>
        <v>2</v>
      </c>
      <c r="B81" s="23"/>
      <c r="C81" s="22">
        <f t="shared" ref="C81:C97" si="16">A81-1+T81</f>
        <v>2</v>
      </c>
      <c r="D81" s="22"/>
      <c r="E81" s="53"/>
      <c r="F81" s="65"/>
      <c r="G81" s="23"/>
      <c r="H81" s="23"/>
      <c r="I81" s="23"/>
      <c r="J81" s="24"/>
      <c r="K81" s="23"/>
      <c r="L81" s="23"/>
      <c r="M81" s="23"/>
      <c r="N81" s="23"/>
      <c r="O81" s="23"/>
      <c r="P81" s="23"/>
      <c r="Q81" s="23"/>
      <c r="R81" s="25">
        <f t="shared" si="15"/>
        <v>0</v>
      </c>
      <c r="S81" s="25">
        <v>1</v>
      </c>
      <c r="T81" s="23">
        <v>1</v>
      </c>
      <c r="U81" s="26">
        <f t="shared" ref="U81:U97" si="17">R81*S81*T81</f>
        <v>0</v>
      </c>
      <c r="W81" s="16"/>
    </row>
    <row r="82" spans="1:23" ht="16.5" customHeight="1" x14ac:dyDescent="0.2">
      <c r="A82" s="22">
        <f t="shared" ref="A82:A97" si="18">C81+1</f>
        <v>3</v>
      </c>
      <c r="B82" s="23"/>
      <c r="C82" s="22">
        <f t="shared" si="16"/>
        <v>3</v>
      </c>
      <c r="D82" s="22"/>
      <c r="E82" s="53"/>
      <c r="F82" s="65"/>
      <c r="G82" s="23"/>
      <c r="H82" s="23"/>
      <c r="I82" s="23"/>
      <c r="J82" s="24"/>
      <c r="K82" s="23"/>
      <c r="L82" s="23"/>
      <c r="M82" s="23"/>
      <c r="N82" s="23"/>
      <c r="O82" s="23"/>
      <c r="P82" s="23"/>
      <c r="Q82" s="23"/>
      <c r="R82" s="25">
        <f t="shared" si="15"/>
        <v>0</v>
      </c>
      <c r="S82" s="25">
        <v>1</v>
      </c>
      <c r="T82" s="23">
        <v>1</v>
      </c>
      <c r="U82" s="26">
        <f t="shared" si="17"/>
        <v>0</v>
      </c>
      <c r="W82" s="13"/>
    </row>
    <row r="83" spans="1:23" ht="16.5" customHeight="1" x14ac:dyDescent="0.2">
      <c r="A83" s="22">
        <f t="shared" si="18"/>
        <v>4</v>
      </c>
      <c r="B83" s="23"/>
      <c r="C83" s="22">
        <f t="shared" si="16"/>
        <v>4</v>
      </c>
      <c r="D83" s="22"/>
      <c r="E83" s="53"/>
      <c r="F83" s="65"/>
      <c r="G83" s="23"/>
      <c r="H83" s="23"/>
      <c r="I83" s="23"/>
      <c r="J83" s="24"/>
      <c r="K83" s="23"/>
      <c r="L83" s="23"/>
      <c r="M83" s="23"/>
      <c r="N83" s="23"/>
      <c r="O83" s="23"/>
      <c r="P83" s="23"/>
      <c r="Q83" s="23"/>
      <c r="R83" s="25">
        <f t="shared" si="15"/>
        <v>0</v>
      </c>
      <c r="S83" s="25">
        <v>1</v>
      </c>
      <c r="T83" s="23">
        <v>1</v>
      </c>
      <c r="U83" s="26">
        <f t="shared" si="17"/>
        <v>0</v>
      </c>
      <c r="W83" s="13"/>
    </row>
    <row r="84" spans="1:23" ht="16.5" customHeight="1" x14ac:dyDescent="0.2">
      <c r="A84" s="22">
        <f t="shared" si="18"/>
        <v>5</v>
      </c>
      <c r="B84" s="23"/>
      <c r="C84" s="22">
        <f t="shared" si="16"/>
        <v>5</v>
      </c>
      <c r="D84" s="22"/>
      <c r="E84" s="53"/>
      <c r="F84" s="65"/>
      <c r="G84" s="23"/>
      <c r="H84" s="23"/>
      <c r="I84" s="23"/>
      <c r="J84" s="24"/>
      <c r="K84" s="23"/>
      <c r="L84" s="23"/>
      <c r="M84" s="23"/>
      <c r="N84" s="23"/>
      <c r="O84" s="23"/>
      <c r="P84" s="23"/>
      <c r="Q84" s="23"/>
      <c r="R84" s="25">
        <f t="shared" si="15"/>
        <v>0</v>
      </c>
      <c r="S84" s="25">
        <v>1</v>
      </c>
      <c r="T84" s="23">
        <v>1</v>
      </c>
      <c r="U84" s="26">
        <f t="shared" si="17"/>
        <v>0</v>
      </c>
      <c r="W84" s="13"/>
    </row>
    <row r="85" spans="1:23" ht="16.5" customHeight="1" x14ac:dyDescent="0.2">
      <c r="A85" s="22">
        <f t="shared" si="18"/>
        <v>6</v>
      </c>
      <c r="B85" s="23"/>
      <c r="C85" s="22">
        <f t="shared" si="16"/>
        <v>6</v>
      </c>
      <c r="D85" s="22"/>
      <c r="E85" s="53"/>
      <c r="F85" s="65"/>
      <c r="G85" s="23"/>
      <c r="H85" s="23"/>
      <c r="I85" s="23"/>
      <c r="J85" s="24"/>
      <c r="K85" s="23"/>
      <c r="L85" s="23"/>
      <c r="M85" s="23"/>
      <c r="N85" s="23"/>
      <c r="O85" s="23"/>
      <c r="P85" s="23"/>
      <c r="Q85" s="23"/>
      <c r="R85" s="25">
        <f t="shared" si="15"/>
        <v>0</v>
      </c>
      <c r="S85" s="25">
        <v>1</v>
      </c>
      <c r="T85" s="23">
        <v>1</v>
      </c>
      <c r="U85" s="26">
        <f t="shared" si="17"/>
        <v>0</v>
      </c>
    </row>
    <row r="86" spans="1:23" ht="16.5" customHeight="1" x14ac:dyDescent="0.2">
      <c r="A86" s="22">
        <f t="shared" si="18"/>
        <v>7</v>
      </c>
      <c r="B86" s="23"/>
      <c r="C86" s="22">
        <f t="shared" si="16"/>
        <v>7</v>
      </c>
      <c r="D86" s="22"/>
      <c r="E86" s="53"/>
      <c r="F86" s="65"/>
      <c r="G86" s="23"/>
      <c r="H86" s="23"/>
      <c r="I86" s="23"/>
      <c r="J86" s="24"/>
      <c r="K86" s="23"/>
      <c r="L86" s="23"/>
      <c r="M86" s="23"/>
      <c r="N86" s="23"/>
      <c r="O86" s="23"/>
      <c r="P86" s="23"/>
      <c r="Q86" s="23"/>
      <c r="R86" s="25">
        <f t="shared" si="15"/>
        <v>0</v>
      </c>
      <c r="S86" s="25">
        <v>1</v>
      </c>
      <c r="T86" s="23">
        <v>1</v>
      </c>
      <c r="U86" s="26">
        <f t="shared" si="17"/>
        <v>0</v>
      </c>
    </row>
    <row r="87" spans="1:23" ht="16.5" customHeight="1" x14ac:dyDescent="0.2">
      <c r="A87" s="22">
        <f t="shared" si="18"/>
        <v>8</v>
      </c>
      <c r="B87" s="23"/>
      <c r="C87" s="22">
        <f t="shared" si="16"/>
        <v>8</v>
      </c>
      <c r="D87" s="22"/>
      <c r="E87" s="53"/>
      <c r="F87" s="65"/>
      <c r="G87" s="23"/>
      <c r="H87" s="23"/>
      <c r="I87" s="23"/>
      <c r="J87" s="24"/>
      <c r="K87" s="23"/>
      <c r="L87" s="23"/>
      <c r="M87" s="23"/>
      <c r="N87" s="23"/>
      <c r="O87" s="23"/>
      <c r="P87" s="23"/>
      <c r="Q87" s="23"/>
      <c r="R87" s="25">
        <f t="shared" si="15"/>
        <v>0</v>
      </c>
      <c r="S87" s="25">
        <v>1</v>
      </c>
      <c r="T87" s="23">
        <v>1</v>
      </c>
      <c r="U87" s="26">
        <f t="shared" si="17"/>
        <v>0</v>
      </c>
    </row>
    <row r="88" spans="1:23" ht="16.5" customHeight="1" x14ac:dyDescent="0.2">
      <c r="A88" s="22">
        <f t="shared" si="18"/>
        <v>9</v>
      </c>
      <c r="B88" s="23"/>
      <c r="C88" s="22">
        <f t="shared" si="16"/>
        <v>9</v>
      </c>
      <c r="D88" s="22"/>
      <c r="E88" s="53"/>
      <c r="F88" s="65"/>
      <c r="G88" s="23"/>
      <c r="H88" s="23"/>
      <c r="I88" s="23"/>
      <c r="J88" s="24"/>
      <c r="K88" s="23"/>
      <c r="L88" s="23"/>
      <c r="M88" s="23"/>
      <c r="N88" s="23"/>
      <c r="O88" s="23"/>
      <c r="P88" s="23"/>
      <c r="Q88" s="23"/>
      <c r="R88" s="25">
        <f t="shared" si="15"/>
        <v>0</v>
      </c>
      <c r="S88" s="25">
        <v>1</v>
      </c>
      <c r="T88" s="23">
        <v>1</v>
      </c>
      <c r="U88" s="26">
        <f t="shared" si="17"/>
        <v>0</v>
      </c>
    </row>
    <row r="89" spans="1:23" ht="16.5" customHeight="1" x14ac:dyDescent="0.2">
      <c r="A89" s="22">
        <f t="shared" si="18"/>
        <v>10</v>
      </c>
      <c r="B89" s="23"/>
      <c r="C89" s="22">
        <f t="shared" si="16"/>
        <v>10</v>
      </c>
      <c r="D89" s="22"/>
      <c r="E89" s="53"/>
      <c r="F89" s="65"/>
      <c r="G89" s="23"/>
      <c r="H89" s="23"/>
      <c r="I89" s="23"/>
      <c r="J89" s="24"/>
      <c r="K89" s="23"/>
      <c r="L89" s="23"/>
      <c r="M89" s="23"/>
      <c r="N89" s="23"/>
      <c r="O89" s="23"/>
      <c r="P89" s="23"/>
      <c r="Q89" s="23"/>
      <c r="R89" s="25">
        <f t="shared" si="15"/>
        <v>0</v>
      </c>
      <c r="S89" s="25">
        <v>1</v>
      </c>
      <c r="T89" s="23">
        <v>1</v>
      </c>
      <c r="U89" s="26">
        <f t="shared" si="17"/>
        <v>0</v>
      </c>
    </row>
    <row r="90" spans="1:23" ht="16.5" customHeight="1" x14ac:dyDescent="0.2">
      <c r="A90" s="22">
        <f t="shared" si="18"/>
        <v>11</v>
      </c>
      <c r="B90" s="23"/>
      <c r="C90" s="22">
        <f t="shared" si="16"/>
        <v>11</v>
      </c>
      <c r="D90" s="22"/>
      <c r="E90" s="53"/>
      <c r="F90" s="65"/>
      <c r="G90" s="23"/>
      <c r="H90" s="23"/>
      <c r="I90" s="23"/>
      <c r="J90" s="24"/>
      <c r="K90" s="23"/>
      <c r="L90" s="23"/>
      <c r="M90" s="23"/>
      <c r="N90" s="23"/>
      <c r="O90" s="23"/>
      <c r="P90" s="23"/>
      <c r="Q90" s="23"/>
      <c r="R90" s="25">
        <f t="shared" si="15"/>
        <v>0</v>
      </c>
      <c r="S90" s="25">
        <v>1</v>
      </c>
      <c r="T90" s="23">
        <v>1</v>
      </c>
      <c r="U90" s="26">
        <f t="shared" si="17"/>
        <v>0</v>
      </c>
    </row>
    <row r="91" spans="1:23" ht="16.5" customHeight="1" x14ac:dyDescent="0.2">
      <c r="A91" s="22">
        <f t="shared" si="18"/>
        <v>12</v>
      </c>
      <c r="B91" s="23"/>
      <c r="C91" s="22">
        <f t="shared" si="16"/>
        <v>12</v>
      </c>
      <c r="D91" s="22"/>
      <c r="E91" s="53"/>
      <c r="F91" s="65"/>
      <c r="G91" s="23"/>
      <c r="H91" s="23"/>
      <c r="I91" s="23"/>
      <c r="J91" s="24"/>
      <c r="K91" s="23"/>
      <c r="L91" s="23"/>
      <c r="M91" s="23"/>
      <c r="N91" s="23"/>
      <c r="O91" s="23"/>
      <c r="P91" s="23"/>
      <c r="Q91" s="23"/>
      <c r="R91" s="25">
        <f t="shared" si="15"/>
        <v>0</v>
      </c>
      <c r="S91" s="25">
        <v>1</v>
      </c>
      <c r="T91" s="23">
        <v>1</v>
      </c>
      <c r="U91" s="26">
        <f t="shared" si="17"/>
        <v>0</v>
      </c>
      <c r="W91" s="13"/>
    </row>
    <row r="92" spans="1:23" ht="16.5" customHeight="1" x14ac:dyDescent="0.2">
      <c r="A92" s="22">
        <f t="shared" si="18"/>
        <v>13</v>
      </c>
      <c r="B92" s="23"/>
      <c r="C92" s="22">
        <f t="shared" si="16"/>
        <v>13</v>
      </c>
      <c r="D92" s="22"/>
      <c r="E92" s="53"/>
      <c r="F92" s="65"/>
      <c r="G92" s="23"/>
      <c r="H92" s="23"/>
      <c r="I92" s="23"/>
      <c r="J92" s="24"/>
      <c r="K92" s="23"/>
      <c r="L92" s="23"/>
      <c r="M92" s="23"/>
      <c r="N92" s="23"/>
      <c r="O92" s="23"/>
      <c r="P92" s="23"/>
      <c r="Q92" s="23"/>
      <c r="R92" s="25">
        <f t="shared" si="15"/>
        <v>0</v>
      </c>
      <c r="S92" s="25">
        <v>1</v>
      </c>
      <c r="T92" s="23">
        <v>1</v>
      </c>
      <c r="U92" s="26">
        <f t="shared" si="17"/>
        <v>0</v>
      </c>
    </row>
    <row r="93" spans="1:23" ht="16.5" customHeight="1" x14ac:dyDescent="0.2">
      <c r="A93" s="22">
        <f t="shared" si="18"/>
        <v>14</v>
      </c>
      <c r="B93" s="23"/>
      <c r="C93" s="22">
        <f t="shared" si="16"/>
        <v>14</v>
      </c>
      <c r="D93" s="22"/>
      <c r="E93" s="53"/>
      <c r="F93" s="65"/>
      <c r="G93" s="23"/>
      <c r="H93" s="23"/>
      <c r="I93" s="23"/>
      <c r="J93" s="24"/>
      <c r="K93" s="23"/>
      <c r="L93" s="23"/>
      <c r="M93" s="23"/>
      <c r="N93" s="23"/>
      <c r="O93" s="23"/>
      <c r="P93" s="23"/>
      <c r="Q93" s="23"/>
      <c r="R93" s="25">
        <f t="shared" si="15"/>
        <v>0</v>
      </c>
      <c r="S93" s="25">
        <v>1</v>
      </c>
      <c r="T93" s="23">
        <v>1</v>
      </c>
      <c r="U93" s="26">
        <f t="shared" si="17"/>
        <v>0</v>
      </c>
    </row>
    <row r="94" spans="1:23" ht="16.5" customHeight="1" x14ac:dyDescent="0.2">
      <c r="A94" s="22">
        <f t="shared" si="18"/>
        <v>15</v>
      </c>
      <c r="B94" s="23"/>
      <c r="C94" s="22">
        <f t="shared" si="16"/>
        <v>15</v>
      </c>
      <c r="D94" s="22"/>
      <c r="E94" s="53"/>
      <c r="F94" s="65"/>
      <c r="G94" s="23"/>
      <c r="H94" s="23"/>
      <c r="I94" s="23"/>
      <c r="J94" s="24"/>
      <c r="K94" s="23"/>
      <c r="L94" s="23"/>
      <c r="M94" s="23"/>
      <c r="N94" s="23"/>
      <c r="O94" s="23"/>
      <c r="P94" s="23"/>
      <c r="Q94" s="23"/>
      <c r="R94" s="25">
        <f t="shared" si="15"/>
        <v>0</v>
      </c>
      <c r="S94" s="25">
        <v>1</v>
      </c>
      <c r="T94" s="23">
        <v>1</v>
      </c>
      <c r="U94" s="26">
        <f t="shared" si="17"/>
        <v>0</v>
      </c>
    </row>
    <row r="95" spans="1:23" ht="16.5" customHeight="1" x14ac:dyDescent="0.2">
      <c r="A95" s="22">
        <f t="shared" si="18"/>
        <v>16</v>
      </c>
      <c r="B95" s="23"/>
      <c r="C95" s="22">
        <f t="shared" si="16"/>
        <v>16</v>
      </c>
      <c r="D95" s="22"/>
      <c r="E95" s="53"/>
      <c r="F95" s="65"/>
      <c r="G95" s="23"/>
      <c r="H95" s="23"/>
      <c r="I95" s="23"/>
      <c r="J95" s="24"/>
      <c r="K95" s="23"/>
      <c r="L95" s="23"/>
      <c r="M95" s="23"/>
      <c r="N95" s="23"/>
      <c r="O95" s="23"/>
      <c r="P95" s="23"/>
      <c r="Q95" s="23"/>
      <c r="R95" s="25">
        <f t="shared" si="15"/>
        <v>0</v>
      </c>
      <c r="S95" s="25">
        <v>1</v>
      </c>
      <c r="T95" s="23">
        <v>1</v>
      </c>
      <c r="U95" s="26">
        <f t="shared" si="17"/>
        <v>0</v>
      </c>
    </row>
    <row r="96" spans="1:23" ht="16.5" customHeight="1" x14ac:dyDescent="0.2">
      <c r="A96" s="22">
        <f t="shared" si="18"/>
        <v>17</v>
      </c>
      <c r="B96" s="23"/>
      <c r="C96" s="22">
        <f t="shared" si="16"/>
        <v>17</v>
      </c>
      <c r="D96" s="22"/>
      <c r="E96" s="53"/>
      <c r="F96" s="65"/>
      <c r="G96" s="23"/>
      <c r="H96" s="23"/>
      <c r="I96" s="23"/>
      <c r="J96" s="24"/>
      <c r="K96" s="23"/>
      <c r="L96" s="23"/>
      <c r="M96" s="23"/>
      <c r="N96" s="23"/>
      <c r="O96" s="23"/>
      <c r="P96" s="23"/>
      <c r="Q96" s="23"/>
      <c r="R96" s="25">
        <f t="shared" si="15"/>
        <v>0</v>
      </c>
      <c r="S96" s="25">
        <v>1</v>
      </c>
      <c r="T96" s="23">
        <v>1</v>
      </c>
      <c r="U96" s="26">
        <f t="shared" si="17"/>
        <v>0</v>
      </c>
    </row>
    <row r="97" spans="1:23" ht="16.5" customHeight="1" x14ac:dyDescent="0.2">
      <c r="A97" s="22">
        <f t="shared" si="18"/>
        <v>18</v>
      </c>
      <c r="B97" s="23"/>
      <c r="C97" s="22">
        <f t="shared" si="16"/>
        <v>18</v>
      </c>
      <c r="D97" s="22"/>
      <c r="E97" s="53"/>
      <c r="F97" s="65"/>
      <c r="G97" s="23"/>
      <c r="H97" s="23"/>
      <c r="I97" s="23"/>
      <c r="J97" s="24"/>
      <c r="K97" s="23"/>
      <c r="L97" s="23"/>
      <c r="M97" s="23"/>
      <c r="N97" s="23"/>
      <c r="O97" s="23"/>
      <c r="P97" s="23"/>
      <c r="Q97" s="23"/>
      <c r="R97" s="25">
        <f t="shared" si="15"/>
        <v>0</v>
      </c>
      <c r="S97" s="25">
        <v>1</v>
      </c>
      <c r="T97" s="23">
        <v>1</v>
      </c>
      <c r="U97" s="26">
        <f t="shared" si="17"/>
        <v>0</v>
      </c>
    </row>
    <row r="98" spans="1:23" ht="15" customHeight="1" x14ac:dyDescent="0.2">
      <c r="A98" s="73"/>
      <c r="B98" s="74"/>
      <c r="C98" s="75"/>
      <c r="D98" s="27"/>
      <c r="E98" s="54"/>
      <c r="F98" s="66"/>
      <c r="G98" s="61" t="s">
        <v>9</v>
      </c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3"/>
      <c r="T98" s="23">
        <f>SUM(T80:T97)</f>
        <v>18</v>
      </c>
      <c r="U98" s="26">
        <f>SUM(U80:U97)</f>
        <v>0</v>
      </c>
    </row>
    <row r="99" spans="1:23" ht="13.5" customHeight="1" thickBot="1" x14ac:dyDescent="0.25">
      <c r="A99" s="67" t="s">
        <v>9</v>
      </c>
      <c r="B99" s="68"/>
      <c r="C99" s="69"/>
      <c r="D99" s="11"/>
      <c r="E99" s="11"/>
      <c r="F99" s="10"/>
      <c r="G99" s="9"/>
      <c r="H99" s="9"/>
      <c r="I99" s="9"/>
      <c r="J99" s="12"/>
      <c r="K99" s="9"/>
      <c r="L99" s="9"/>
      <c r="M99" s="9"/>
      <c r="N99" s="12"/>
      <c r="O99" s="12"/>
      <c r="P99" s="12"/>
      <c r="Q99" s="12"/>
      <c r="R99" s="9"/>
      <c r="S99" s="9"/>
      <c r="T99" s="39">
        <f>+T98</f>
        <v>18</v>
      </c>
      <c r="U99" s="40">
        <f>+U98</f>
        <v>0</v>
      </c>
    </row>
    <row r="100" spans="1:23" ht="13.8" thickBot="1" x14ac:dyDescent="0.25"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1:23" x14ac:dyDescent="0.2">
      <c r="A101" s="70" t="s">
        <v>1</v>
      </c>
      <c r="B101" s="71"/>
      <c r="C101" s="72"/>
      <c r="D101" s="20"/>
      <c r="E101" s="20" t="s">
        <v>2</v>
      </c>
      <c r="F101" s="20" t="s">
        <v>3</v>
      </c>
      <c r="G101" s="20" t="str">
        <f>G$13</f>
        <v>G13</v>
      </c>
      <c r="H101" s="20" t="str">
        <f t="shared" ref="H101:Q101" si="19">H$13</f>
        <v>H13</v>
      </c>
      <c r="I101" s="20" t="str">
        <f t="shared" si="19"/>
        <v>I13</v>
      </c>
      <c r="J101" s="20" t="str">
        <f t="shared" si="19"/>
        <v>J13</v>
      </c>
      <c r="K101" s="20" t="str">
        <f t="shared" si="19"/>
        <v>K13</v>
      </c>
      <c r="L101" s="20" t="str">
        <f t="shared" si="19"/>
        <v>L13</v>
      </c>
      <c r="M101" s="20" t="str">
        <f t="shared" si="19"/>
        <v>M13</v>
      </c>
      <c r="N101" s="20" t="str">
        <f t="shared" si="19"/>
        <v>N13</v>
      </c>
      <c r="O101" s="20" t="str">
        <f t="shared" si="19"/>
        <v>O13</v>
      </c>
      <c r="P101" s="20" t="str">
        <f t="shared" si="19"/>
        <v>P13</v>
      </c>
      <c r="Q101" s="20" t="str">
        <f t="shared" si="19"/>
        <v>Q13</v>
      </c>
      <c r="R101" s="20" t="s">
        <v>5</v>
      </c>
      <c r="S101" s="20" t="s">
        <v>6</v>
      </c>
      <c r="T101" s="20" t="s">
        <v>7</v>
      </c>
      <c r="U101" s="21" t="s">
        <v>8</v>
      </c>
    </row>
    <row r="102" spans="1:23" ht="16.5" customHeight="1" x14ac:dyDescent="0.2">
      <c r="A102" s="22">
        <v>1</v>
      </c>
      <c r="B102" s="23"/>
      <c r="C102" s="22">
        <f>A102-1+T102</f>
        <v>1</v>
      </c>
      <c r="D102" s="22"/>
      <c r="E102" s="52" t="s">
        <v>41</v>
      </c>
      <c r="F102" s="64"/>
      <c r="G102" s="23"/>
      <c r="H102" s="23"/>
      <c r="I102" s="23"/>
      <c r="J102" s="24"/>
      <c r="K102" s="23"/>
      <c r="L102" s="23"/>
      <c r="M102" s="23"/>
      <c r="N102" s="23"/>
      <c r="O102" s="23"/>
      <c r="P102" s="23"/>
      <c r="Q102" s="23"/>
      <c r="R102" s="25">
        <f t="shared" ref="R102:R119" si="20">SUM(G102:Q102)</f>
        <v>0</v>
      </c>
      <c r="S102" s="25">
        <v>1</v>
      </c>
      <c r="T102" s="23">
        <v>1</v>
      </c>
      <c r="U102" s="26">
        <f>R102*S102*T102</f>
        <v>0</v>
      </c>
    </row>
    <row r="103" spans="1:23" ht="16.5" customHeight="1" x14ac:dyDescent="0.2">
      <c r="A103" s="22">
        <f>C102+1</f>
        <v>2</v>
      </c>
      <c r="B103" s="23"/>
      <c r="C103" s="22">
        <f t="shared" ref="C103:C119" si="21">A103-1+T103</f>
        <v>2</v>
      </c>
      <c r="D103" s="22"/>
      <c r="E103" s="53"/>
      <c r="F103" s="65"/>
      <c r="G103" s="23"/>
      <c r="H103" s="23"/>
      <c r="I103" s="23"/>
      <c r="J103" s="24"/>
      <c r="K103" s="23"/>
      <c r="L103" s="23"/>
      <c r="M103" s="23"/>
      <c r="N103" s="23"/>
      <c r="O103" s="23"/>
      <c r="P103" s="23"/>
      <c r="Q103" s="23"/>
      <c r="R103" s="25">
        <f t="shared" si="20"/>
        <v>0</v>
      </c>
      <c r="S103" s="25">
        <v>1</v>
      </c>
      <c r="T103" s="23">
        <v>1</v>
      </c>
      <c r="U103" s="26">
        <f t="shared" ref="U103:U119" si="22">R103*S103*T103</f>
        <v>0</v>
      </c>
      <c r="W103" s="16"/>
    </row>
    <row r="104" spans="1:23" ht="16.5" customHeight="1" x14ac:dyDescent="0.2">
      <c r="A104" s="22">
        <f t="shared" ref="A104:A119" si="23">C103+1</f>
        <v>3</v>
      </c>
      <c r="B104" s="23"/>
      <c r="C104" s="22">
        <f t="shared" si="21"/>
        <v>3</v>
      </c>
      <c r="D104" s="22"/>
      <c r="E104" s="53"/>
      <c r="F104" s="65"/>
      <c r="G104" s="23"/>
      <c r="H104" s="23"/>
      <c r="I104" s="23"/>
      <c r="J104" s="24"/>
      <c r="K104" s="23"/>
      <c r="L104" s="23"/>
      <c r="M104" s="23"/>
      <c r="N104" s="23"/>
      <c r="O104" s="23"/>
      <c r="P104" s="23"/>
      <c r="Q104" s="23"/>
      <c r="R104" s="25">
        <f t="shared" si="20"/>
        <v>0</v>
      </c>
      <c r="S104" s="25">
        <v>1</v>
      </c>
      <c r="T104" s="23">
        <v>1</v>
      </c>
      <c r="U104" s="26">
        <f t="shared" si="22"/>
        <v>0</v>
      </c>
      <c r="W104" s="13"/>
    </row>
    <row r="105" spans="1:23" ht="16.5" customHeight="1" x14ac:dyDescent="0.2">
      <c r="A105" s="22">
        <f t="shared" si="23"/>
        <v>4</v>
      </c>
      <c r="B105" s="23"/>
      <c r="C105" s="22">
        <f t="shared" si="21"/>
        <v>4</v>
      </c>
      <c r="D105" s="22"/>
      <c r="E105" s="53"/>
      <c r="F105" s="65"/>
      <c r="G105" s="23"/>
      <c r="H105" s="23"/>
      <c r="I105" s="23"/>
      <c r="J105" s="24"/>
      <c r="K105" s="23"/>
      <c r="L105" s="23"/>
      <c r="M105" s="23"/>
      <c r="N105" s="23"/>
      <c r="O105" s="23"/>
      <c r="P105" s="23"/>
      <c r="Q105" s="23"/>
      <c r="R105" s="25">
        <f t="shared" si="20"/>
        <v>0</v>
      </c>
      <c r="S105" s="25">
        <v>1</v>
      </c>
      <c r="T105" s="23">
        <v>1</v>
      </c>
      <c r="U105" s="26">
        <f t="shared" si="22"/>
        <v>0</v>
      </c>
      <c r="W105" s="13"/>
    </row>
    <row r="106" spans="1:23" ht="16.5" customHeight="1" x14ac:dyDescent="0.2">
      <c r="A106" s="22">
        <f t="shared" si="23"/>
        <v>5</v>
      </c>
      <c r="B106" s="23"/>
      <c r="C106" s="22">
        <f t="shared" si="21"/>
        <v>5</v>
      </c>
      <c r="D106" s="22"/>
      <c r="E106" s="53"/>
      <c r="F106" s="65"/>
      <c r="G106" s="23"/>
      <c r="H106" s="23"/>
      <c r="I106" s="23"/>
      <c r="J106" s="24"/>
      <c r="K106" s="23"/>
      <c r="L106" s="23"/>
      <c r="M106" s="23"/>
      <c r="N106" s="23"/>
      <c r="O106" s="23"/>
      <c r="P106" s="23"/>
      <c r="Q106" s="23"/>
      <c r="R106" s="25">
        <f t="shared" si="20"/>
        <v>0</v>
      </c>
      <c r="S106" s="25">
        <v>1</v>
      </c>
      <c r="T106" s="23">
        <v>1</v>
      </c>
      <c r="U106" s="26">
        <f t="shared" si="22"/>
        <v>0</v>
      </c>
      <c r="W106" s="13"/>
    </row>
    <row r="107" spans="1:23" ht="16.5" customHeight="1" x14ac:dyDescent="0.2">
      <c r="A107" s="22">
        <f t="shared" si="23"/>
        <v>6</v>
      </c>
      <c r="B107" s="23"/>
      <c r="C107" s="22">
        <f t="shared" si="21"/>
        <v>6</v>
      </c>
      <c r="D107" s="22"/>
      <c r="E107" s="53"/>
      <c r="F107" s="65"/>
      <c r="G107" s="23"/>
      <c r="H107" s="23"/>
      <c r="I107" s="23"/>
      <c r="J107" s="24"/>
      <c r="K107" s="23"/>
      <c r="L107" s="23"/>
      <c r="M107" s="23"/>
      <c r="N107" s="23"/>
      <c r="O107" s="23"/>
      <c r="P107" s="23"/>
      <c r="Q107" s="23"/>
      <c r="R107" s="25">
        <f t="shared" si="20"/>
        <v>0</v>
      </c>
      <c r="S107" s="25">
        <v>1</v>
      </c>
      <c r="T107" s="23">
        <v>1</v>
      </c>
      <c r="U107" s="26">
        <f t="shared" si="22"/>
        <v>0</v>
      </c>
    </row>
    <row r="108" spans="1:23" ht="16.5" customHeight="1" x14ac:dyDescent="0.2">
      <c r="A108" s="22">
        <f t="shared" si="23"/>
        <v>7</v>
      </c>
      <c r="B108" s="23"/>
      <c r="C108" s="22">
        <f t="shared" si="21"/>
        <v>7</v>
      </c>
      <c r="D108" s="22"/>
      <c r="E108" s="53"/>
      <c r="F108" s="65"/>
      <c r="G108" s="23"/>
      <c r="H108" s="23"/>
      <c r="I108" s="23"/>
      <c r="J108" s="24"/>
      <c r="K108" s="23"/>
      <c r="L108" s="23"/>
      <c r="M108" s="23"/>
      <c r="N108" s="23"/>
      <c r="O108" s="23"/>
      <c r="P108" s="23"/>
      <c r="Q108" s="23"/>
      <c r="R108" s="25">
        <f t="shared" si="20"/>
        <v>0</v>
      </c>
      <c r="S108" s="25">
        <v>1</v>
      </c>
      <c r="T108" s="23">
        <v>1</v>
      </c>
      <c r="U108" s="26">
        <f t="shared" si="22"/>
        <v>0</v>
      </c>
    </row>
    <row r="109" spans="1:23" ht="16.5" customHeight="1" x14ac:dyDescent="0.2">
      <c r="A109" s="22">
        <f t="shared" si="23"/>
        <v>8</v>
      </c>
      <c r="B109" s="23"/>
      <c r="C109" s="22">
        <f t="shared" si="21"/>
        <v>8</v>
      </c>
      <c r="D109" s="22"/>
      <c r="E109" s="53"/>
      <c r="F109" s="65"/>
      <c r="G109" s="23"/>
      <c r="H109" s="23"/>
      <c r="I109" s="23"/>
      <c r="J109" s="24"/>
      <c r="K109" s="23"/>
      <c r="L109" s="23"/>
      <c r="M109" s="23"/>
      <c r="N109" s="23"/>
      <c r="O109" s="23"/>
      <c r="P109" s="23"/>
      <c r="Q109" s="23"/>
      <c r="R109" s="25">
        <f t="shared" si="20"/>
        <v>0</v>
      </c>
      <c r="S109" s="25">
        <v>1</v>
      </c>
      <c r="T109" s="23">
        <v>1</v>
      </c>
      <c r="U109" s="26">
        <f t="shared" si="22"/>
        <v>0</v>
      </c>
    </row>
    <row r="110" spans="1:23" ht="16.5" customHeight="1" x14ac:dyDescent="0.2">
      <c r="A110" s="22">
        <f t="shared" si="23"/>
        <v>9</v>
      </c>
      <c r="B110" s="23"/>
      <c r="C110" s="22">
        <f t="shared" si="21"/>
        <v>9</v>
      </c>
      <c r="D110" s="22"/>
      <c r="E110" s="53"/>
      <c r="F110" s="65"/>
      <c r="G110" s="23"/>
      <c r="H110" s="23"/>
      <c r="I110" s="23"/>
      <c r="J110" s="24"/>
      <c r="K110" s="23"/>
      <c r="L110" s="23"/>
      <c r="M110" s="23"/>
      <c r="N110" s="23"/>
      <c r="O110" s="23"/>
      <c r="P110" s="23"/>
      <c r="Q110" s="23"/>
      <c r="R110" s="25">
        <f t="shared" si="20"/>
        <v>0</v>
      </c>
      <c r="S110" s="25">
        <v>1</v>
      </c>
      <c r="T110" s="23">
        <v>1</v>
      </c>
      <c r="U110" s="26">
        <f t="shared" si="22"/>
        <v>0</v>
      </c>
    </row>
    <row r="111" spans="1:23" ht="16.5" customHeight="1" x14ac:dyDescent="0.2">
      <c r="A111" s="22">
        <f t="shared" si="23"/>
        <v>10</v>
      </c>
      <c r="B111" s="23"/>
      <c r="C111" s="22">
        <f t="shared" si="21"/>
        <v>10</v>
      </c>
      <c r="D111" s="22"/>
      <c r="E111" s="53"/>
      <c r="F111" s="65"/>
      <c r="G111" s="23"/>
      <c r="H111" s="23"/>
      <c r="I111" s="23"/>
      <c r="J111" s="24"/>
      <c r="K111" s="23"/>
      <c r="L111" s="23"/>
      <c r="M111" s="23"/>
      <c r="N111" s="23"/>
      <c r="O111" s="23"/>
      <c r="P111" s="23"/>
      <c r="Q111" s="23"/>
      <c r="R111" s="25">
        <f t="shared" si="20"/>
        <v>0</v>
      </c>
      <c r="S111" s="25">
        <v>1</v>
      </c>
      <c r="T111" s="23">
        <v>1</v>
      </c>
      <c r="U111" s="26">
        <f t="shared" si="22"/>
        <v>0</v>
      </c>
    </row>
    <row r="112" spans="1:23" ht="16.5" customHeight="1" x14ac:dyDescent="0.2">
      <c r="A112" s="22">
        <f t="shared" si="23"/>
        <v>11</v>
      </c>
      <c r="B112" s="23"/>
      <c r="C112" s="22">
        <f t="shared" si="21"/>
        <v>11</v>
      </c>
      <c r="D112" s="22"/>
      <c r="E112" s="53"/>
      <c r="F112" s="65"/>
      <c r="G112" s="23"/>
      <c r="H112" s="23"/>
      <c r="I112" s="23"/>
      <c r="J112" s="24"/>
      <c r="K112" s="23"/>
      <c r="L112" s="23"/>
      <c r="M112" s="23"/>
      <c r="N112" s="23"/>
      <c r="O112" s="23"/>
      <c r="P112" s="23"/>
      <c r="Q112" s="23"/>
      <c r="R112" s="25">
        <f t="shared" si="20"/>
        <v>0</v>
      </c>
      <c r="S112" s="25">
        <v>1</v>
      </c>
      <c r="T112" s="23">
        <v>1</v>
      </c>
      <c r="U112" s="26">
        <f t="shared" si="22"/>
        <v>0</v>
      </c>
    </row>
    <row r="113" spans="1:23" ht="16.5" customHeight="1" x14ac:dyDescent="0.2">
      <c r="A113" s="22">
        <f t="shared" si="23"/>
        <v>12</v>
      </c>
      <c r="B113" s="23"/>
      <c r="C113" s="22">
        <f t="shared" si="21"/>
        <v>12</v>
      </c>
      <c r="D113" s="22"/>
      <c r="E113" s="53"/>
      <c r="F113" s="65"/>
      <c r="G113" s="23"/>
      <c r="H113" s="23"/>
      <c r="I113" s="23"/>
      <c r="J113" s="24"/>
      <c r="K113" s="23"/>
      <c r="L113" s="23"/>
      <c r="M113" s="23"/>
      <c r="N113" s="23"/>
      <c r="O113" s="23"/>
      <c r="P113" s="23"/>
      <c r="Q113" s="23"/>
      <c r="R113" s="25">
        <f t="shared" si="20"/>
        <v>0</v>
      </c>
      <c r="S113" s="25">
        <v>1</v>
      </c>
      <c r="T113" s="23">
        <v>1</v>
      </c>
      <c r="U113" s="26">
        <f t="shared" si="22"/>
        <v>0</v>
      </c>
      <c r="W113" s="13"/>
    </row>
    <row r="114" spans="1:23" ht="16.5" customHeight="1" x14ac:dyDescent="0.2">
      <c r="A114" s="22">
        <f t="shared" si="23"/>
        <v>13</v>
      </c>
      <c r="B114" s="23"/>
      <c r="C114" s="22">
        <f t="shared" si="21"/>
        <v>13</v>
      </c>
      <c r="D114" s="22"/>
      <c r="E114" s="53"/>
      <c r="F114" s="65"/>
      <c r="G114" s="23"/>
      <c r="H114" s="23"/>
      <c r="I114" s="23"/>
      <c r="J114" s="24"/>
      <c r="K114" s="23"/>
      <c r="L114" s="23"/>
      <c r="M114" s="23"/>
      <c r="N114" s="23"/>
      <c r="O114" s="23"/>
      <c r="P114" s="23"/>
      <c r="Q114" s="23"/>
      <c r="R114" s="25">
        <f t="shared" si="20"/>
        <v>0</v>
      </c>
      <c r="S114" s="25">
        <v>1</v>
      </c>
      <c r="T114" s="23">
        <v>1</v>
      </c>
      <c r="U114" s="26">
        <f t="shared" si="22"/>
        <v>0</v>
      </c>
    </row>
    <row r="115" spans="1:23" ht="16.5" customHeight="1" x14ac:dyDescent="0.2">
      <c r="A115" s="22">
        <f t="shared" si="23"/>
        <v>14</v>
      </c>
      <c r="B115" s="23"/>
      <c r="C115" s="22">
        <f t="shared" si="21"/>
        <v>14</v>
      </c>
      <c r="D115" s="22"/>
      <c r="E115" s="53"/>
      <c r="F115" s="65"/>
      <c r="G115" s="23"/>
      <c r="H115" s="23"/>
      <c r="I115" s="23"/>
      <c r="J115" s="24"/>
      <c r="K115" s="23"/>
      <c r="L115" s="23"/>
      <c r="M115" s="23"/>
      <c r="N115" s="23"/>
      <c r="O115" s="23"/>
      <c r="P115" s="23"/>
      <c r="Q115" s="23"/>
      <c r="R115" s="25">
        <f t="shared" si="20"/>
        <v>0</v>
      </c>
      <c r="S115" s="25">
        <v>1</v>
      </c>
      <c r="T115" s="23">
        <v>1</v>
      </c>
      <c r="U115" s="26">
        <f t="shared" si="22"/>
        <v>0</v>
      </c>
    </row>
    <row r="116" spans="1:23" ht="16.5" customHeight="1" x14ac:dyDescent="0.2">
      <c r="A116" s="22">
        <f t="shared" si="23"/>
        <v>15</v>
      </c>
      <c r="B116" s="23"/>
      <c r="C116" s="22">
        <f t="shared" si="21"/>
        <v>15</v>
      </c>
      <c r="D116" s="22"/>
      <c r="E116" s="53"/>
      <c r="F116" s="65"/>
      <c r="G116" s="23"/>
      <c r="H116" s="23"/>
      <c r="I116" s="23"/>
      <c r="J116" s="24"/>
      <c r="K116" s="23"/>
      <c r="L116" s="23"/>
      <c r="M116" s="23"/>
      <c r="N116" s="23"/>
      <c r="O116" s="23"/>
      <c r="P116" s="23"/>
      <c r="Q116" s="23"/>
      <c r="R116" s="25">
        <f t="shared" si="20"/>
        <v>0</v>
      </c>
      <c r="S116" s="25">
        <v>1</v>
      </c>
      <c r="T116" s="23">
        <v>1</v>
      </c>
      <c r="U116" s="26">
        <f t="shared" si="22"/>
        <v>0</v>
      </c>
    </row>
    <row r="117" spans="1:23" ht="16.5" customHeight="1" x14ac:dyDescent="0.2">
      <c r="A117" s="22">
        <f t="shared" si="23"/>
        <v>16</v>
      </c>
      <c r="B117" s="23"/>
      <c r="C117" s="22">
        <f t="shared" si="21"/>
        <v>16</v>
      </c>
      <c r="D117" s="22"/>
      <c r="E117" s="53"/>
      <c r="F117" s="65"/>
      <c r="G117" s="23"/>
      <c r="H117" s="23"/>
      <c r="I117" s="23"/>
      <c r="J117" s="24"/>
      <c r="K117" s="23"/>
      <c r="L117" s="23"/>
      <c r="M117" s="23"/>
      <c r="N117" s="23"/>
      <c r="O117" s="23"/>
      <c r="P117" s="23"/>
      <c r="Q117" s="23"/>
      <c r="R117" s="25">
        <f t="shared" si="20"/>
        <v>0</v>
      </c>
      <c r="S117" s="25">
        <v>1</v>
      </c>
      <c r="T117" s="23">
        <v>1</v>
      </c>
      <c r="U117" s="26">
        <f t="shared" si="22"/>
        <v>0</v>
      </c>
    </row>
    <row r="118" spans="1:23" ht="16.5" customHeight="1" x14ac:dyDescent="0.2">
      <c r="A118" s="22">
        <f t="shared" si="23"/>
        <v>17</v>
      </c>
      <c r="B118" s="23"/>
      <c r="C118" s="22">
        <f t="shared" si="21"/>
        <v>17</v>
      </c>
      <c r="D118" s="22"/>
      <c r="E118" s="53"/>
      <c r="F118" s="65"/>
      <c r="G118" s="23"/>
      <c r="H118" s="23"/>
      <c r="I118" s="23"/>
      <c r="J118" s="24"/>
      <c r="K118" s="23"/>
      <c r="L118" s="23"/>
      <c r="M118" s="23"/>
      <c r="N118" s="23"/>
      <c r="O118" s="23"/>
      <c r="P118" s="23"/>
      <c r="Q118" s="23"/>
      <c r="R118" s="25">
        <f t="shared" si="20"/>
        <v>0</v>
      </c>
      <c r="S118" s="25">
        <v>1</v>
      </c>
      <c r="T118" s="23">
        <v>1</v>
      </c>
      <c r="U118" s="26">
        <f t="shared" si="22"/>
        <v>0</v>
      </c>
    </row>
    <row r="119" spans="1:23" ht="16.5" customHeight="1" x14ac:dyDescent="0.2">
      <c r="A119" s="22">
        <f t="shared" si="23"/>
        <v>18</v>
      </c>
      <c r="B119" s="23"/>
      <c r="C119" s="22">
        <f t="shared" si="21"/>
        <v>18</v>
      </c>
      <c r="D119" s="22"/>
      <c r="E119" s="53"/>
      <c r="F119" s="65"/>
      <c r="G119" s="23"/>
      <c r="H119" s="23"/>
      <c r="I119" s="23"/>
      <c r="J119" s="24"/>
      <c r="K119" s="23"/>
      <c r="L119" s="23"/>
      <c r="M119" s="23"/>
      <c r="N119" s="23"/>
      <c r="O119" s="23"/>
      <c r="P119" s="23"/>
      <c r="Q119" s="23"/>
      <c r="R119" s="25">
        <f t="shared" si="20"/>
        <v>0</v>
      </c>
      <c r="S119" s="25">
        <v>1</v>
      </c>
      <c r="T119" s="23">
        <v>1</v>
      </c>
      <c r="U119" s="26">
        <f t="shared" si="22"/>
        <v>0</v>
      </c>
    </row>
    <row r="120" spans="1:23" ht="15" customHeight="1" x14ac:dyDescent="0.2">
      <c r="A120" s="73"/>
      <c r="B120" s="74"/>
      <c r="C120" s="75"/>
      <c r="D120" s="27"/>
      <c r="E120" s="54"/>
      <c r="F120" s="66"/>
      <c r="G120" s="61" t="s">
        <v>9</v>
      </c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3"/>
      <c r="T120" s="23">
        <f>SUM(T102:T119)</f>
        <v>18</v>
      </c>
      <c r="U120" s="26">
        <f>SUM(U102:U119)</f>
        <v>0</v>
      </c>
    </row>
    <row r="121" spans="1:23" ht="13.5" customHeight="1" thickBot="1" x14ac:dyDescent="0.25">
      <c r="A121" s="67" t="s">
        <v>9</v>
      </c>
      <c r="B121" s="68"/>
      <c r="C121" s="69"/>
      <c r="D121" s="11"/>
      <c r="E121" s="11"/>
      <c r="F121" s="10"/>
      <c r="G121" s="9"/>
      <c r="H121" s="9"/>
      <c r="I121" s="9"/>
      <c r="J121" s="12"/>
      <c r="K121" s="9"/>
      <c r="L121" s="9"/>
      <c r="M121" s="9"/>
      <c r="N121" s="12"/>
      <c r="O121" s="12"/>
      <c r="P121" s="12"/>
      <c r="Q121" s="12"/>
      <c r="R121" s="9"/>
      <c r="S121" s="9"/>
      <c r="T121" s="39">
        <f>+T120</f>
        <v>18</v>
      </c>
      <c r="U121" s="40">
        <f>+U120</f>
        <v>0</v>
      </c>
    </row>
    <row r="122" spans="1:23" ht="17.25" customHeight="1" x14ac:dyDescent="0.2"/>
    <row r="123" spans="1:23" ht="13.5" customHeight="1" x14ac:dyDescent="0.2">
      <c r="E123" s="1" t="s">
        <v>10</v>
      </c>
      <c r="F123" s="1" t="s">
        <v>11</v>
      </c>
      <c r="G123" s="1" t="s">
        <v>12</v>
      </c>
      <c r="I123" s="1" t="s">
        <v>13</v>
      </c>
    </row>
    <row r="124" spans="1:23" ht="13.8" thickBot="1" x14ac:dyDescent="0.25">
      <c r="A124" s="1" t="s">
        <v>1</v>
      </c>
      <c r="E124" s="1" t="s">
        <v>14</v>
      </c>
      <c r="F124" s="1" t="s">
        <v>14</v>
      </c>
      <c r="G124" s="1" t="s">
        <v>4</v>
      </c>
      <c r="H124" s="1" t="s">
        <v>15</v>
      </c>
      <c r="I124" s="1" t="s">
        <v>16</v>
      </c>
      <c r="U124" s="13"/>
    </row>
    <row r="125" spans="1:23" ht="13.5" customHeight="1" thickBot="1" x14ac:dyDescent="0.25">
      <c r="A125" s="28">
        <v>1</v>
      </c>
      <c r="B125" s="29" t="s">
        <v>17</v>
      </c>
      <c r="C125" s="30">
        <f>T33</f>
        <v>18</v>
      </c>
      <c r="D125" s="30"/>
      <c r="E125" s="29">
        <f>+C125*0.5+F125</f>
        <v>9</v>
      </c>
      <c r="F125" s="29">
        <f>R135*0.3</f>
        <v>0</v>
      </c>
      <c r="G125" s="29">
        <v>60</v>
      </c>
      <c r="H125" s="29">
        <v>40</v>
      </c>
      <c r="I125" s="31">
        <v>40</v>
      </c>
      <c r="K125" s="13"/>
    </row>
    <row r="126" spans="1:23" ht="13.5" customHeight="1" thickBot="1" x14ac:dyDescent="0.25">
      <c r="A126" s="28">
        <v>1</v>
      </c>
      <c r="B126" s="29" t="s">
        <v>17</v>
      </c>
      <c r="C126" s="30">
        <f>T55</f>
        <v>18</v>
      </c>
      <c r="D126" s="30"/>
      <c r="E126" s="29">
        <f>+C126*0.5+F126</f>
        <v>9</v>
      </c>
      <c r="F126" s="29">
        <f>R141*0.3</f>
        <v>0</v>
      </c>
      <c r="G126" s="29">
        <v>60</v>
      </c>
      <c r="H126" s="29">
        <v>40</v>
      </c>
      <c r="I126" s="31">
        <v>40</v>
      </c>
      <c r="K126" s="13"/>
    </row>
    <row r="127" spans="1:23" ht="13.5" customHeight="1" thickBot="1" x14ac:dyDescent="0.25">
      <c r="A127" s="28">
        <v>1</v>
      </c>
      <c r="B127" s="29" t="s">
        <v>17</v>
      </c>
      <c r="C127" s="30">
        <f>T77</f>
        <v>18</v>
      </c>
      <c r="D127" s="30"/>
      <c r="E127" s="29">
        <f>+C127*0.5+F127</f>
        <v>9</v>
      </c>
      <c r="F127" s="29">
        <f>R147*0.3</f>
        <v>0</v>
      </c>
      <c r="G127" s="29">
        <v>60</v>
      </c>
      <c r="H127" s="29">
        <v>40</v>
      </c>
      <c r="I127" s="31">
        <v>40</v>
      </c>
      <c r="K127" s="13"/>
    </row>
    <row r="128" spans="1:23" ht="13.5" customHeight="1" thickBot="1" x14ac:dyDescent="0.25">
      <c r="A128" s="28">
        <v>1</v>
      </c>
      <c r="B128" s="29" t="s">
        <v>17</v>
      </c>
      <c r="C128" s="30">
        <f>T99</f>
        <v>18</v>
      </c>
      <c r="D128" s="30"/>
      <c r="E128" s="29">
        <f>+C128*0.5+F128</f>
        <v>9</v>
      </c>
      <c r="F128" s="29">
        <f>R153*0.3</f>
        <v>0</v>
      </c>
      <c r="G128" s="29">
        <v>60</v>
      </c>
      <c r="H128" s="29">
        <v>40</v>
      </c>
      <c r="I128" s="31">
        <v>40</v>
      </c>
      <c r="K128" s="13"/>
    </row>
    <row r="129" spans="1:20" ht="13.5" customHeight="1" thickBot="1" x14ac:dyDescent="0.25">
      <c r="A129" s="28">
        <v>1</v>
      </c>
      <c r="B129" s="29" t="s">
        <v>17</v>
      </c>
      <c r="C129" s="30">
        <f>T121</f>
        <v>18</v>
      </c>
      <c r="D129" s="30"/>
      <c r="E129" s="29">
        <f>+C129*0.5+F129</f>
        <v>9</v>
      </c>
      <c r="F129" s="29">
        <f>R159*0.3</f>
        <v>0</v>
      </c>
      <c r="G129" s="29">
        <v>60</v>
      </c>
      <c r="H129" s="29">
        <v>40</v>
      </c>
      <c r="I129" s="31">
        <v>40</v>
      </c>
      <c r="K129" s="13"/>
    </row>
    <row r="130" spans="1:20" ht="22.2" customHeight="1" thickBot="1" x14ac:dyDescent="0.25">
      <c r="A130" s="55" t="s">
        <v>18</v>
      </c>
      <c r="B130" s="56"/>
      <c r="C130" s="56"/>
      <c r="D130" s="57"/>
      <c r="E130" s="3">
        <f>SUM(E125:E129)</f>
        <v>45</v>
      </c>
      <c r="F130" s="4">
        <f>SUM(F125:F129)</f>
        <v>0</v>
      </c>
      <c r="G130" s="58">
        <f>(G125*H125*I125*E166/1000000)</f>
        <v>8.64</v>
      </c>
      <c r="H130" s="59"/>
      <c r="I130" s="60"/>
    </row>
    <row r="131" spans="1:20" ht="13.95" customHeight="1" x14ac:dyDescent="0.2">
      <c r="A131" s="5"/>
      <c r="B131" s="5"/>
      <c r="C131" s="5"/>
      <c r="D131" s="5"/>
      <c r="E131" s="6"/>
      <c r="F131" s="7"/>
      <c r="G131" s="8"/>
      <c r="H131" s="8"/>
      <c r="I131" s="8"/>
    </row>
    <row r="132" spans="1:20" ht="13.8" thickBot="1" x14ac:dyDescent="0.25">
      <c r="A132" s="13" t="s">
        <v>19</v>
      </c>
    </row>
    <row r="133" spans="1:20" ht="32.4" customHeight="1" x14ac:dyDescent="0.2">
      <c r="A133" s="83" t="s">
        <v>42</v>
      </c>
      <c r="B133" s="84"/>
      <c r="C133" s="84"/>
      <c r="D133" s="84"/>
      <c r="E133" s="85"/>
      <c r="F133" s="48"/>
      <c r="G133" s="42" t="str">
        <f>G$13</f>
        <v>G13</v>
      </c>
      <c r="H133" s="42" t="str">
        <f t="shared" ref="H133:Q133" si="24">H$13</f>
        <v>H13</v>
      </c>
      <c r="I133" s="42" t="str">
        <f t="shared" si="24"/>
        <v>I13</v>
      </c>
      <c r="J133" s="42" t="str">
        <f t="shared" si="24"/>
        <v>J13</v>
      </c>
      <c r="K133" s="42" t="str">
        <f t="shared" si="24"/>
        <v>K13</v>
      </c>
      <c r="L133" s="42" t="str">
        <f t="shared" si="24"/>
        <v>L13</v>
      </c>
      <c r="M133" s="42" t="str">
        <f t="shared" si="24"/>
        <v>M13</v>
      </c>
      <c r="N133" s="42" t="str">
        <f t="shared" si="24"/>
        <v>N13</v>
      </c>
      <c r="O133" s="20" t="str">
        <f t="shared" si="24"/>
        <v>O13</v>
      </c>
      <c r="P133" s="20" t="str">
        <f t="shared" si="24"/>
        <v>P13</v>
      </c>
      <c r="Q133" s="42" t="str">
        <f t="shared" si="24"/>
        <v>Q13</v>
      </c>
      <c r="R133" s="43" t="s">
        <v>8</v>
      </c>
    </row>
    <row r="134" spans="1:20" ht="14.4" x14ac:dyDescent="0.2">
      <c r="A134" s="77" t="s">
        <v>35</v>
      </c>
      <c r="B134" s="78"/>
      <c r="C134" s="79"/>
      <c r="D134" s="32"/>
      <c r="E134" s="33"/>
      <c r="F134" s="49"/>
      <c r="G134" s="41"/>
      <c r="H134" s="41"/>
      <c r="I134" s="41"/>
      <c r="J134" s="41"/>
      <c r="K134" s="41"/>
      <c r="L134" s="41"/>
      <c r="M134" s="41"/>
      <c r="N134" s="41"/>
      <c r="O134" s="47"/>
      <c r="P134" s="47"/>
      <c r="Q134" s="47"/>
      <c r="R134" s="44">
        <f>SUM(G134:Q134)</f>
        <v>0</v>
      </c>
      <c r="T134" s="13"/>
    </row>
    <row r="135" spans="1:20" ht="14.4" x14ac:dyDescent="0.2">
      <c r="A135" s="77" t="s">
        <v>34</v>
      </c>
      <c r="B135" s="78"/>
      <c r="C135" s="79"/>
      <c r="D135" s="32"/>
      <c r="E135" s="33"/>
      <c r="F135" s="49"/>
      <c r="G135" s="41" cm="1">
        <f t="array" ref="G135">SUM(G14:G31*$S14:$S31*$T14:$T31)</f>
        <v>0</v>
      </c>
      <c r="H135" s="41" cm="1">
        <f t="array" ref="H135">SUM(H14:H31*$S14:$S31*$T14:$T31)</f>
        <v>0</v>
      </c>
      <c r="I135" s="41" cm="1">
        <f t="array" ref="I135">SUM(I14:I31*$S14:$S31*$T14:$T31)</f>
        <v>0</v>
      </c>
      <c r="J135" s="41" cm="1">
        <f t="array" ref="J135">SUM(J14:J31*$S14:$S31*$T14:$T31)</f>
        <v>0</v>
      </c>
      <c r="K135" s="41" cm="1">
        <f t="array" ref="K135">SUM(K14:K31*$S14:$S31*$T14:$T31)</f>
        <v>0</v>
      </c>
      <c r="L135" s="41" cm="1">
        <f t="array" ref="L135">SUM(L14:L31*$S14:$S31*$T14:$T31)</f>
        <v>0</v>
      </c>
      <c r="M135" s="41" cm="1">
        <f t="array" ref="M135">SUM(M14:M31*$S14:$S31*$T14:$T31)</f>
        <v>0</v>
      </c>
      <c r="N135" s="41" cm="1">
        <f t="array" ref="N135">SUM(N14:N31*$S14:$S31*$T14:$T31)</f>
        <v>0</v>
      </c>
      <c r="O135" s="41" cm="1">
        <f t="array" ref="O135">SUM(O14:O31*$S14:$S31*$T14:$T31)</f>
        <v>0</v>
      </c>
      <c r="P135" s="41" cm="1">
        <f t="array" ref="P135">SUM(P14:P31*$S14:$S31*$T14:$T31)</f>
        <v>0</v>
      </c>
      <c r="Q135" s="41" cm="1">
        <f t="array" ref="Q135">SUM(Q14:Q31*$S14:$S31*$T14:$T31)</f>
        <v>0</v>
      </c>
      <c r="R135" s="44" cm="1">
        <f t="array" ref="R135">SUM(R14:R31*$S14:$S31*$T14:$T31)</f>
        <v>0</v>
      </c>
    </row>
    <row r="136" spans="1:20" ht="15" thickBot="1" x14ac:dyDescent="0.25">
      <c r="A136" s="80" t="s">
        <v>36</v>
      </c>
      <c r="B136" s="81"/>
      <c r="C136" s="82"/>
      <c r="D136" s="34"/>
      <c r="E136" s="35"/>
      <c r="F136" s="36"/>
      <c r="G136" s="45">
        <f>G135-G134</f>
        <v>0</v>
      </c>
      <c r="H136" s="45">
        <f t="shared" ref="H136:N136" si="25">H135-H134</f>
        <v>0</v>
      </c>
      <c r="I136" s="45">
        <f t="shared" si="25"/>
        <v>0</v>
      </c>
      <c r="J136" s="45">
        <f t="shared" si="25"/>
        <v>0</v>
      </c>
      <c r="K136" s="45">
        <f>K135-K134</f>
        <v>0</v>
      </c>
      <c r="L136" s="45">
        <f t="shared" si="25"/>
        <v>0</v>
      </c>
      <c r="M136" s="45">
        <f t="shared" si="25"/>
        <v>0</v>
      </c>
      <c r="N136" s="45">
        <f t="shared" si="25"/>
        <v>0</v>
      </c>
      <c r="O136" s="45">
        <f t="shared" ref="O136:P136" si="26">O135-O134</f>
        <v>0</v>
      </c>
      <c r="P136" s="45">
        <f t="shared" si="26"/>
        <v>0</v>
      </c>
      <c r="Q136" s="45">
        <f>Q135-Q134</f>
        <v>0</v>
      </c>
      <c r="R136" s="46">
        <f>R135-R134</f>
        <v>0</v>
      </c>
    </row>
    <row r="137" spans="1:20" ht="13.95" customHeight="1" x14ac:dyDescent="0.2">
      <c r="A137" s="5"/>
      <c r="B137" s="5"/>
      <c r="C137" s="5"/>
      <c r="D137" s="5"/>
      <c r="E137" s="6"/>
      <c r="F137" s="50"/>
      <c r="G137" s="14"/>
      <c r="H137" s="14"/>
      <c r="I137" s="14"/>
    </row>
    <row r="138" spans="1:20" ht="13.8" thickBot="1" x14ac:dyDescent="0.25">
      <c r="A138" s="13" t="s">
        <v>19</v>
      </c>
    </row>
    <row r="139" spans="1:20" ht="32.4" customHeight="1" x14ac:dyDescent="0.2">
      <c r="A139" s="83" t="s">
        <v>42</v>
      </c>
      <c r="B139" s="84"/>
      <c r="C139" s="84"/>
      <c r="D139" s="84"/>
      <c r="E139" s="85"/>
      <c r="F139" s="48"/>
      <c r="G139" s="42" t="str">
        <f>G$13</f>
        <v>G13</v>
      </c>
      <c r="H139" s="42" t="str">
        <f t="shared" ref="H139:Q139" si="27">H$13</f>
        <v>H13</v>
      </c>
      <c r="I139" s="42" t="str">
        <f t="shared" si="27"/>
        <v>I13</v>
      </c>
      <c r="J139" s="42" t="str">
        <f t="shared" si="27"/>
        <v>J13</v>
      </c>
      <c r="K139" s="42" t="str">
        <f t="shared" si="27"/>
        <v>K13</v>
      </c>
      <c r="L139" s="42" t="str">
        <f t="shared" si="27"/>
        <v>L13</v>
      </c>
      <c r="M139" s="42" t="str">
        <f t="shared" si="27"/>
        <v>M13</v>
      </c>
      <c r="N139" s="42" t="str">
        <f t="shared" si="27"/>
        <v>N13</v>
      </c>
      <c r="O139" s="20" t="str">
        <f t="shared" si="27"/>
        <v>O13</v>
      </c>
      <c r="P139" s="20" t="str">
        <f t="shared" si="27"/>
        <v>P13</v>
      </c>
      <c r="Q139" s="42" t="str">
        <f t="shared" si="27"/>
        <v>Q13</v>
      </c>
      <c r="R139" s="43" t="s">
        <v>8</v>
      </c>
    </row>
    <row r="140" spans="1:20" ht="14.4" x14ac:dyDescent="0.2">
      <c r="A140" s="77" t="s">
        <v>35</v>
      </c>
      <c r="B140" s="78"/>
      <c r="C140" s="79"/>
      <c r="D140" s="32"/>
      <c r="E140" s="33"/>
      <c r="F140" s="49"/>
      <c r="G140" s="41"/>
      <c r="H140" s="41"/>
      <c r="I140" s="41"/>
      <c r="J140" s="41"/>
      <c r="K140" s="41"/>
      <c r="L140" s="41"/>
      <c r="M140" s="41"/>
      <c r="N140" s="41"/>
      <c r="O140" s="47"/>
      <c r="P140" s="47"/>
      <c r="Q140" s="47"/>
      <c r="R140" s="44">
        <f>SUM(G140:N140)</f>
        <v>0</v>
      </c>
      <c r="T140" s="13"/>
    </row>
    <row r="141" spans="1:20" ht="14.4" x14ac:dyDescent="0.2">
      <c r="A141" s="77" t="s">
        <v>34</v>
      </c>
      <c r="B141" s="78"/>
      <c r="C141" s="79"/>
      <c r="D141" s="32"/>
      <c r="E141" s="33"/>
      <c r="F141" s="49"/>
      <c r="G141" s="41" cm="1">
        <f t="array" ref="G141">SUM(G36:G53*$S36:$S53*$T36:$T53)</f>
        <v>0</v>
      </c>
      <c r="H141" s="41" cm="1">
        <f t="array" ref="H141">SUM(H36:H53*$S36:$S53*$T36:$T53)</f>
        <v>0</v>
      </c>
      <c r="I141" s="41" cm="1">
        <f t="array" ref="I141">SUM(I36:I53*$S36:$S53*$T36:$T53)</f>
        <v>0</v>
      </c>
      <c r="J141" s="41" cm="1">
        <f t="array" ref="J141">SUM(J36:J53*$S36:$S53*$T36:$T53)</f>
        <v>0</v>
      </c>
      <c r="K141" s="41" cm="1">
        <f t="array" ref="K141">SUM(K36:K53*$S36:$S53*$T36:$T53)</f>
        <v>0</v>
      </c>
      <c r="L141" s="41" cm="1">
        <f t="array" ref="L141">SUM(L36:L53*$S36:$S53*$T36:$T53)</f>
        <v>0</v>
      </c>
      <c r="M141" s="41" cm="1">
        <f t="array" ref="M141">SUM(M36:M53*$S36:$S53*$T36:$T53)</f>
        <v>0</v>
      </c>
      <c r="N141" s="41" cm="1">
        <f t="array" ref="N141">SUM(N36:N53*$S36:$S53*$T36:$T53)</f>
        <v>0</v>
      </c>
      <c r="O141" s="41" cm="1">
        <f t="array" ref="O141">SUM(O36:O53*$S36:$S53*$T36:$T53)</f>
        <v>0</v>
      </c>
      <c r="P141" s="41" cm="1">
        <f t="array" ref="P141">SUM(P36:P53*$S36:$S53*$T36:$T53)</f>
        <v>0</v>
      </c>
      <c r="Q141" s="41" cm="1">
        <f t="array" ref="Q141">SUM(Q36:Q53*$S36:$S53*$T36:$T53)</f>
        <v>0</v>
      </c>
      <c r="R141" s="44" cm="1">
        <f t="array" ref="R141">SUM(R36:R53*$S36:$S53*$T36:$T53)</f>
        <v>0</v>
      </c>
    </row>
    <row r="142" spans="1:20" ht="15" thickBot="1" x14ac:dyDescent="0.25">
      <c r="A142" s="80" t="s">
        <v>36</v>
      </c>
      <c r="B142" s="81"/>
      <c r="C142" s="82"/>
      <c r="D142" s="34"/>
      <c r="E142" s="35"/>
      <c r="F142" s="36"/>
      <c r="G142" s="45">
        <f>G141-G140</f>
        <v>0</v>
      </c>
      <c r="H142" s="45">
        <f t="shared" ref="H142:J142" si="28">H141-H140</f>
        <v>0</v>
      </c>
      <c r="I142" s="45">
        <f t="shared" si="28"/>
        <v>0</v>
      </c>
      <c r="J142" s="45">
        <f t="shared" si="28"/>
        <v>0</v>
      </c>
      <c r="K142" s="45">
        <f>K141-K140</f>
        <v>0</v>
      </c>
      <c r="L142" s="45">
        <f t="shared" ref="L142:N142" si="29">L141-L140</f>
        <v>0</v>
      </c>
      <c r="M142" s="45">
        <f t="shared" si="29"/>
        <v>0</v>
      </c>
      <c r="N142" s="45">
        <f t="shared" si="29"/>
        <v>0</v>
      </c>
      <c r="O142" s="45">
        <f t="shared" ref="O142:P142" si="30">O141-O140</f>
        <v>0</v>
      </c>
      <c r="P142" s="45">
        <f t="shared" si="30"/>
        <v>0</v>
      </c>
      <c r="Q142" s="45">
        <f>Q141-Q140</f>
        <v>0</v>
      </c>
      <c r="R142" s="46">
        <f>R141-R140</f>
        <v>0</v>
      </c>
    </row>
    <row r="143" spans="1:20" ht="12.75" customHeight="1" x14ac:dyDescent="0.2">
      <c r="A143" s="5"/>
      <c r="B143" s="5"/>
      <c r="C143" s="5"/>
      <c r="D143" s="5"/>
      <c r="E143" s="6"/>
      <c r="F143" s="50"/>
      <c r="G143" s="14"/>
      <c r="H143" s="14"/>
      <c r="I143" s="14"/>
    </row>
    <row r="144" spans="1:20" s="2" customFormat="1" ht="13.8" thickBot="1" x14ac:dyDescent="0.25">
      <c r="A144" s="13" t="s">
        <v>19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1016 1027:2040 2051:3064 3075:4088 4099:5112 5123:6136 6147:7160 7171:8184 8195:9208 9219:10232 10243:11256 11267:12280 12291:13304 13315:14328 14339:15352 15363:16376" ht="32.4" customHeight="1" x14ac:dyDescent="0.2">
      <c r="A145" s="83" t="s">
        <v>42</v>
      </c>
      <c r="B145" s="84"/>
      <c r="C145" s="84"/>
      <c r="D145" s="84"/>
      <c r="E145" s="85"/>
      <c r="F145" s="48"/>
      <c r="G145" s="42" t="str">
        <f>G$13</f>
        <v>G13</v>
      </c>
      <c r="H145" s="42" t="str">
        <f t="shared" ref="H145:Q145" si="31">H$13</f>
        <v>H13</v>
      </c>
      <c r="I145" s="42" t="str">
        <f t="shared" si="31"/>
        <v>I13</v>
      </c>
      <c r="J145" s="42" t="str">
        <f t="shared" si="31"/>
        <v>J13</v>
      </c>
      <c r="K145" s="42" t="str">
        <f t="shared" si="31"/>
        <v>K13</v>
      </c>
      <c r="L145" s="42" t="str">
        <f t="shared" si="31"/>
        <v>L13</v>
      </c>
      <c r="M145" s="42" t="str">
        <f t="shared" si="31"/>
        <v>M13</v>
      </c>
      <c r="N145" s="42" t="str">
        <f t="shared" si="31"/>
        <v>N13</v>
      </c>
      <c r="O145" s="20" t="str">
        <f t="shared" si="31"/>
        <v>O13</v>
      </c>
      <c r="P145" s="20" t="str">
        <f t="shared" si="31"/>
        <v>P13</v>
      </c>
      <c r="Q145" s="42" t="str">
        <f t="shared" si="31"/>
        <v>Q13</v>
      </c>
      <c r="R145" s="43" t="s">
        <v>8</v>
      </c>
    </row>
    <row r="146" spans="1:1016 1027:2040 2051:3064 3075:4088 4099:5112 5123:6136 6147:7160 7171:8184 8195:9208 9219:10232 10243:11256 11267:12280 12291:13304 13315:14328 14339:15352 15363:16376" ht="14.4" x14ac:dyDescent="0.2">
      <c r="A146" s="77" t="s">
        <v>35</v>
      </c>
      <c r="B146" s="78"/>
      <c r="C146" s="79"/>
      <c r="D146" s="32"/>
      <c r="E146" s="33"/>
      <c r="F146" s="49"/>
      <c r="G146" s="41"/>
      <c r="H146" s="41"/>
      <c r="I146" s="41"/>
      <c r="J146" s="41"/>
      <c r="K146" s="41"/>
      <c r="L146" s="41"/>
      <c r="M146" s="41"/>
      <c r="N146" s="41"/>
      <c r="O146" s="47"/>
      <c r="P146" s="47"/>
      <c r="Q146" s="47"/>
      <c r="R146" s="44">
        <f>SUM(G146:N146)</f>
        <v>0</v>
      </c>
      <c r="T146" s="13"/>
    </row>
    <row r="147" spans="1:1016 1027:2040 2051:3064 3075:4088 4099:5112 5123:6136 6147:7160 7171:8184 8195:9208 9219:10232 10243:11256 11267:12280 12291:13304 13315:14328 14339:15352 15363:16376" ht="14.4" x14ac:dyDescent="0.2">
      <c r="A147" s="77" t="s">
        <v>34</v>
      </c>
      <c r="B147" s="78"/>
      <c r="C147" s="79"/>
      <c r="D147" s="32"/>
      <c r="E147" s="33"/>
      <c r="F147" s="49"/>
      <c r="G147" s="41" cm="1">
        <f t="array" ref="G147">SUM(G58:G75*$S58:$S75*$T58:$T75)</f>
        <v>0</v>
      </c>
      <c r="H147" s="41" cm="1">
        <f t="array" ref="H147">SUM(H58:H75*$S58:$S75*$T58:$T75)</f>
        <v>0</v>
      </c>
      <c r="I147" s="41" cm="1">
        <f t="array" ref="I147">SUM(I58:I75*$S58:$S75*$T58:$T75)</f>
        <v>0</v>
      </c>
      <c r="J147" s="41" cm="1">
        <f t="array" ref="J147">SUM(J58:J75*$S58:$S75*$T58:$T75)</f>
        <v>0</v>
      </c>
      <c r="K147" s="41" cm="1">
        <f t="array" ref="K147">SUM(K58:K75*$S58:$S75*$T58:$T75)</f>
        <v>0</v>
      </c>
      <c r="L147" s="41" cm="1">
        <f t="array" ref="L147">SUM(L58:L75*$S58:$S75*$T58:$T75)</f>
        <v>0</v>
      </c>
      <c r="M147" s="41" cm="1">
        <f t="array" ref="M147">SUM(M58:M75*$S58:$S75*$T58:$T75)</f>
        <v>0</v>
      </c>
      <c r="N147" s="41" cm="1">
        <f t="array" ref="N147">SUM(N58:N75*$S58:$S75*$T58:$T75)</f>
        <v>0</v>
      </c>
      <c r="O147" s="41" cm="1">
        <f t="array" ref="O147">SUM(O58:O75*$S58:$S75*$T58:$T75)</f>
        <v>0</v>
      </c>
      <c r="P147" s="41" cm="1">
        <f t="array" ref="P147">SUM(P58:P75*$S58:$S75*$T58:$T75)</f>
        <v>0</v>
      </c>
      <c r="Q147" s="41" cm="1">
        <f t="array" ref="Q147">SUM(Q58:Q75*$S58:$S75*$T58:$T75)</f>
        <v>0</v>
      </c>
      <c r="R147" s="44" cm="1">
        <f t="array" ref="R147">SUM(R58:R75*$S58:$S75*$T58:$T75)</f>
        <v>0</v>
      </c>
    </row>
    <row r="148" spans="1:1016 1027:2040 2051:3064 3075:4088 4099:5112 5123:6136 6147:7160 7171:8184 8195:9208 9219:10232 10243:11256 11267:12280 12291:13304 13315:14328 14339:15352 15363:16376" ht="15" thickBot="1" x14ac:dyDescent="0.25">
      <c r="A148" s="80" t="s">
        <v>36</v>
      </c>
      <c r="B148" s="81"/>
      <c r="C148" s="82"/>
      <c r="D148" s="34"/>
      <c r="E148" s="35"/>
      <c r="F148" s="36"/>
      <c r="G148" s="45">
        <f>G147-G146</f>
        <v>0</v>
      </c>
      <c r="H148" s="45">
        <f t="shared" ref="H148:J148" si="32">H147-H146</f>
        <v>0</v>
      </c>
      <c r="I148" s="45">
        <f t="shared" si="32"/>
        <v>0</v>
      </c>
      <c r="J148" s="45">
        <f t="shared" si="32"/>
        <v>0</v>
      </c>
      <c r="K148" s="45">
        <f>K147-K146</f>
        <v>0</v>
      </c>
      <c r="L148" s="45">
        <f t="shared" ref="L148:N148" si="33">L147-L146</f>
        <v>0</v>
      </c>
      <c r="M148" s="45">
        <f t="shared" si="33"/>
        <v>0</v>
      </c>
      <c r="N148" s="45">
        <f t="shared" si="33"/>
        <v>0</v>
      </c>
      <c r="O148" s="45">
        <f t="shared" ref="O148:P148" si="34">O147-O146</f>
        <v>0</v>
      </c>
      <c r="P148" s="45">
        <f t="shared" si="34"/>
        <v>0</v>
      </c>
      <c r="Q148" s="45">
        <f>Q147-Q146</f>
        <v>0</v>
      </c>
      <c r="R148" s="46">
        <f>R147-R146</f>
        <v>0</v>
      </c>
    </row>
    <row r="149" spans="1:1016 1027:2040 2051:3064 3075:4088 4099:5112 5123:6136 6147:7160 7171:8184 8195:9208 9219:10232 10243:11256 11267:12280 12291:13304 13315:14328 14339:15352 15363:16376" x14ac:dyDescent="0.2">
      <c r="A149" s="5"/>
      <c r="B149" s="5"/>
      <c r="C149" s="5"/>
      <c r="D149" s="5"/>
      <c r="E149" s="6"/>
      <c r="F149" s="50"/>
      <c r="G149" s="14"/>
      <c r="H149" s="14"/>
      <c r="I149" s="14"/>
    </row>
    <row r="150" spans="1:1016 1027:2040 2051:3064 3075:4088 4099:5112 5123:6136 6147:7160 7171:8184 8195:9208 9219:10232 10243:11256 11267:12280 12291:13304 13315:14328 14339:15352 15363:16376" ht="13.8" thickBot="1" x14ac:dyDescent="0.25">
      <c r="A150" s="13" t="s">
        <v>19</v>
      </c>
    </row>
    <row r="151" spans="1:1016 1027:2040 2051:3064 3075:4088 4099:5112 5123:6136 6147:7160 7171:8184 8195:9208 9219:10232 10243:11256 11267:12280 12291:13304 13315:14328 14339:15352 15363:16376" ht="32.4" customHeight="1" x14ac:dyDescent="0.2">
      <c r="A151" s="83" t="s">
        <v>42</v>
      </c>
      <c r="B151" s="84"/>
      <c r="C151" s="84"/>
      <c r="D151" s="84"/>
      <c r="E151" s="85"/>
      <c r="F151" s="48"/>
      <c r="G151" s="42" t="str">
        <f>G$13</f>
        <v>G13</v>
      </c>
      <c r="H151" s="42" t="str">
        <f t="shared" ref="H151:Q151" si="35">H$13</f>
        <v>H13</v>
      </c>
      <c r="I151" s="42" t="str">
        <f t="shared" si="35"/>
        <v>I13</v>
      </c>
      <c r="J151" s="42" t="str">
        <f t="shared" si="35"/>
        <v>J13</v>
      </c>
      <c r="K151" s="42" t="str">
        <f t="shared" si="35"/>
        <v>K13</v>
      </c>
      <c r="L151" s="42" t="str">
        <f t="shared" si="35"/>
        <v>L13</v>
      </c>
      <c r="M151" s="42" t="str">
        <f t="shared" si="35"/>
        <v>M13</v>
      </c>
      <c r="N151" s="42" t="str">
        <f t="shared" si="35"/>
        <v>N13</v>
      </c>
      <c r="O151" s="20" t="str">
        <f t="shared" si="35"/>
        <v>O13</v>
      </c>
      <c r="P151" s="20" t="str">
        <f t="shared" si="35"/>
        <v>P13</v>
      </c>
      <c r="Q151" s="42" t="str">
        <f t="shared" si="35"/>
        <v>Q13</v>
      </c>
      <c r="R151" s="43" t="s">
        <v>8</v>
      </c>
    </row>
    <row r="152" spans="1:1016 1027:2040 2051:3064 3075:4088 4099:5112 5123:6136 6147:7160 7171:8184 8195:9208 9219:10232 10243:11256 11267:12280 12291:13304 13315:14328 14339:15352 15363:16376" ht="14.4" x14ac:dyDescent="0.2">
      <c r="A152" s="77" t="s">
        <v>35</v>
      </c>
      <c r="B152" s="78"/>
      <c r="C152" s="79"/>
      <c r="D152" s="32"/>
      <c r="E152" s="33"/>
      <c r="F152" s="49"/>
      <c r="G152" s="41"/>
      <c r="H152" s="41"/>
      <c r="I152" s="41"/>
      <c r="J152" s="41"/>
      <c r="K152" s="41"/>
      <c r="L152" s="41"/>
      <c r="M152" s="41"/>
      <c r="N152" s="41"/>
      <c r="O152" s="47"/>
      <c r="P152" s="47"/>
      <c r="Q152" s="47"/>
      <c r="R152" s="44">
        <f>SUM(G152:N152)</f>
        <v>0</v>
      </c>
      <c r="T152" s="13"/>
    </row>
    <row r="153" spans="1:1016 1027:2040 2051:3064 3075:4088 4099:5112 5123:6136 6147:7160 7171:8184 8195:9208 9219:10232 10243:11256 11267:12280 12291:13304 13315:14328 14339:15352 15363:16376" ht="14.4" x14ac:dyDescent="0.2">
      <c r="A153" s="77" t="s">
        <v>34</v>
      </c>
      <c r="B153" s="78"/>
      <c r="C153" s="79"/>
      <c r="D153" s="32"/>
      <c r="E153" s="33"/>
      <c r="F153" s="49"/>
      <c r="G153" s="41" cm="1">
        <f t="array" ref="G153">SUM(G80:G97*$S80:$S97*$T80:$T97)</f>
        <v>0</v>
      </c>
      <c r="H153" s="41" cm="1">
        <f t="array" ref="H153">SUM(H80:H97*$S80:$S97*$T80:$T97)</f>
        <v>0</v>
      </c>
      <c r="I153" s="41" cm="1">
        <f t="array" ref="I153">SUM(I80:I97*$S80:$S97*$T80:$T97)</f>
        <v>0</v>
      </c>
      <c r="J153" s="41" cm="1">
        <f t="array" ref="J153">SUM(J80:J97*$S80:$S97*$T80:$T97)</f>
        <v>0</v>
      </c>
      <c r="K153" s="41" cm="1">
        <f t="array" ref="K153">SUM(K80:K97*$S80:$S97*$T80:$T97)</f>
        <v>0</v>
      </c>
      <c r="L153" s="41" cm="1">
        <f t="array" ref="L153">SUM(L80:L97*$S80:$S97*$T80:$T97)</f>
        <v>0</v>
      </c>
      <c r="M153" s="41" cm="1">
        <f t="array" ref="M153">SUM(M80:M97*$S80:$S97*$T80:$T97)</f>
        <v>0</v>
      </c>
      <c r="N153" s="41" cm="1">
        <f t="array" ref="N153">SUM(N80:N97*$S80:$S97*$T80:$T97)</f>
        <v>0</v>
      </c>
      <c r="O153" s="41" cm="1">
        <f t="array" ref="O153">SUM(O80:O97*$S80:$S97*$T80:$T97)</f>
        <v>0</v>
      </c>
      <c r="P153" s="41" cm="1">
        <f t="array" ref="P153">SUM(P80:P97*$S80:$S97*$T80:$T97)</f>
        <v>0</v>
      </c>
      <c r="Q153" s="41" cm="1">
        <f t="array" ref="Q153">SUM(Q80:Q97*$S80:$S97*$T80:$T97)</f>
        <v>0</v>
      </c>
      <c r="R153" s="44" cm="1">
        <f t="array" ref="R153">SUM(R80:R97*$S80:$S97*$T80:$T97)</f>
        <v>0</v>
      </c>
    </row>
    <row r="154" spans="1:1016 1027:2040 2051:3064 3075:4088 4099:5112 5123:6136 6147:7160 7171:8184 8195:9208 9219:10232 10243:11256 11267:12280 12291:13304 13315:14328 14339:15352 15363:16376" ht="15" thickBot="1" x14ac:dyDescent="0.25">
      <c r="A154" s="80" t="s">
        <v>36</v>
      </c>
      <c r="B154" s="81"/>
      <c r="C154" s="82"/>
      <c r="D154" s="34"/>
      <c r="E154" s="35"/>
      <c r="F154" s="36"/>
      <c r="G154" s="45">
        <f>G153-G152</f>
        <v>0</v>
      </c>
      <c r="H154" s="45">
        <f t="shared" ref="H154:J154" si="36">H153-H152</f>
        <v>0</v>
      </c>
      <c r="I154" s="45">
        <f t="shared" si="36"/>
        <v>0</v>
      </c>
      <c r="J154" s="45">
        <f t="shared" si="36"/>
        <v>0</v>
      </c>
      <c r="K154" s="45">
        <f>K153-K152</f>
        <v>0</v>
      </c>
      <c r="L154" s="45">
        <f t="shared" ref="L154:N154" si="37">L153-L152</f>
        <v>0</v>
      </c>
      <c r="M154" s="45">
        <f t="shared" si="37"/>
        <v>0</v>
      </c>
      <c r="N154" s="45">
        <f t="shared" si="37"/>
        <v>0</v>
      </c>
      <c r="O154" s="45">
        <f t="shared" ref="O154:P154" si="38">O153-O152</f>
        <v>0</v>
      </c>
      <c r="P154" s="45">
        <f t="shared" si="38"/>
        <v>0</v>
      </c>
      <c r="Q154" s="45">
        <f>Q153-Q152</f>
        <v>0</v>
      </c>
      <c r="R154" s="46">
        <f>R153-R152</f>
        <v>0</v>
      </c>
    </row>
    <row r="155" spans="1:1016 1027:2040 2051:3064 3075:4088 4099:5112 5123:6136 6147:7160 7171:8184 8195:9208 9219:10232 10243:11256 11267:12280 12291:13304 13315:14328 14339:15352 15363:16376" x14ac:dyDescent="0.2">
      <c r="A155" s="2"/>
      <c r="B155" s="2"/>
      <c r="C155" s="2"/>
      <c r="D155" s="2"/>
      <c r="E155" s="2"/>
      <c r="F155" s="2"/>
      <c r="G155" s="14"/>
      <c r="H155" s="14"/>
      <c r="I155" s="14"/>
      <c r="J155" s="14"/>
      <c r="K155" s="14"/>
      <c r="L155" s="14"/>
      <c r="M155" s="14"/>
      <c r="N155" s="2"/>
      <c r="O155" s="2"/>
      <c r="P155" s="2"/>
      <c r="Q155" s="2"/>
    </row>
    <row r="156" spans="1:1016 1027:2040 2051:3064 3075:4088 4099:5112 5123:6136 6147:7160 7171:8184 8195:9208 9219:10232 10243:11256 11267:12280 12291:13304 13315:14328 14339:15352 15363:16376" ht="13.8" thickBot="1" x14ac:dyDescent="0.25">
      <c r="A156" s="13" t="s">
        <v>19</v>
      </c>
      <c r="S156" s="13"/>
      <c r="AI156" s="13"/>
      <c r="AY156" s="13"/>
      <c r="BO156" s="13"/>
      <c r="CE156" s="13"/>
      <c r="CU156" s="13"/>
      <c r="DK156" s="13"/>
      <c r="EA156" s="13"/>
      <c r="EQ156" s="13"/>
      <c r="FG156" s="13"/>
      <c r="FW156" s="13"/>
      <c r="GM156" s="13"/>
      <c r="HC156" s="13"/>
      <c r="HS156" s="13"/>
      <c r="II156" s="13"/>
      <c r="IY156" s="13"/>
      <c r="JO156" s="13"/>
      <c r="KE156" s="13"/>
      <c r="KU156" s="13"/>
      <c r="LK156" s="13"/>
      <c r="MA156" s="13"/>
      <c r="MQ156" s="13"/>
      <c r="NG156" s="13"/>
      <c r="NW156" s="13"/>
      <c r="OM156" s="13"/>
      <c r="PC156" s="13"/>
      <c r="PS156" s="13"/>
      <c r="QI156" s="13"/>
      <c r="QY156" s="13"/>
      <c r="RO156" s="13"/>
      <c r="SE156" s="13"/>
      <c r="SU156" s="13"/>
      <c r="TK156" s="13"/>
      <c r="UA156" s="13"/>
      <c r="UQ156" s="13"/>
      <c r="VG156" s="13"/>
      <c r="VW156" s="13"/>
      <c r="WM156" s="13"/>
      <c r="XC156" s="13"/>
      <c r="XS156" s="13"/>
      <c r="YI156" s="13"/>
      <c r="YY156" s="13"/>
      <c r="ZO156" s="13"/>
      <c r="AAE156" s="13"/>
      <c r="AAU156" s="13"/>
      <c r="ABK156" s="13"/>
      <c r="ACA156" s="13"/>
      <c r="ACQ156" s="13"/>
      <c r="ADG156" s="13"/>
      <c r="ADW156" s="13"/>
      <c r="AEM156" s="13"/>
      <c r="AFC156" s="13"/>
      <c r="AFS156" s="13"/>
      <c r="AGI156" s="13"/>
      <c r="AGY156" s="13"/>
      <c r="AHO156" s="13"/>
      <c r="AIE156" s="13"/>
      <c r="AIU156" s="13"/>
      <c r="AJK156" s="13"/>
      <c r="AKA156" s="13"/>
      <c r="AKQ156" s="13"/>
      <c r="ALG156" s="13"/>
      <c r="ALW156" s="13"/>
      <c r="AMM156" s="13"/>
      <c r="ANC156" s="13"/>
      <c r="ANS156" s="13"/>
      <c r="AOI156" s="13"/>
      <c r="AOY156" s="13"/>
      <c r="APO156" s="13"/>
      <c r="AQE156" s="13"/>
      <c r="AQU156" s="13"/>
      <c r="ARK156" s="13"/>
      <c r="ASA156" s="13"/>
      <c r="ASQ156" s="13"/>
      <c r="ATG156" s="13"/>
      <c r="ATW156" s="13"/>
      <c r="AUM156" s="13"/>
      <c r="AVC156" s="13"/>
      <c r="AVS156" s="13"/>
      <c r="AWI156" s="13"/>
      <c r="AWY156" s="13"/>
      <c r="AXO156" s="13"/>
      <c r="AYE156" s="13"/>
      <c r="AYU156" s="13"/>
      <c r="AZK156" s="13"/>
      <c r="BAA156" s="13"/>
      <c r="BAQ156" s="13"/>
      <c r="BBG156" s="13"/>
      <c r="BBW156" s="13"/>
      <c r="BCM156" s="13"/>
      <c r="BDC156" s="13"/>
      <c r="BDS156" s="13"/>
      <c r="BEI156" s="13"/>
      <c r="BEY156" s="13"/>
      <c r="BFO156" s="13"/>
      <c r="BGE156" s="13"/>
      <c r="BGU156" s="13"/>
      <c r="BHK156" s="13"/>
      <c r="BIA156" s="13"/>
      <c r="BIQ156" s="13"/>
      <c r="BJG156" s="13"/>
      <c r="BJW156" s="13"/>
      <c r="BKM156" s="13"/>
      <c r="BLC156" s="13"/>
      <c r="BLS156" s="13"/>
      <c r="BMI156" s="13"/>
      <c r="BMY156" s="13"/>
      <c r="BNO156" s="13"/>
      <c r="BOE156" s="13"/>
      <c r="BOU156" s="13"/>
      <c r="BPK156" s="13"/>
      <c r="BQA156" s="13"/>
      <c r="BQQ156" s="13"/>
      <c r="BRG156" s="13"/>
      <c r="BRW156" s="13"/>
      <c r="BSM156" s="13"/>
      <c r="BTC156" s="13"/>
      <c r="BTS156" s="13"/>
      <c r="BUI156" s="13"/>
      <c r="BUY156" s="13"/>
      <c r="BVO156" s="13"/>
      <c r="BWE156" s="13"/>
      <c r="BWU156" s="13"/>
      <c r="BXK156" s="13"/>
      <c r="BYA156" s="13"/>
      <c r="BYQ156" s="13"/>
      <c r="BZG156" s="13"/>
      <c r="BZW156" s="13"/>
      <c r="CAM156" s="13"/>
      <c r="CBC156" s="13"/>
      <c r="CBS156" s="13"/>
      <c r="CCI156" s="13"/>
      <c r="CCY156" s="13"/>
      <c r="CDO156" s="13"/>
      <c r="CEE156" s="13"/>
      <c r="CEU156" s="13"/>
      <c r="CFK156" s="13"/>
      <c r="CGA156" s="13"/>
      <c r="CGQ156" s="13"/>
      <c r="CHG156" s="13"/>
      <c r="CHW156" s="13"/>
      <c r="CIM156" s="13"/>
      <c r="CJC156" s="13"/>
      <c r="CJS156" s="13"/>
      <c r="CKI156" s="13"/>
      <c r="CKY156" s="13"/>
      <c r="CLO156" s="13"/>
      <c r="CME156" s="13"/>
      <c r="CMU156" s="13"/>
      <c r="CNK156" s="13"/>
      <c r="COA156" s="13"/>
      <c r="COQ156" s="13"/>
      <c r="CPG156" s="13"/>
      <c r="CPW156" s="13"/>
      <c r="CQM156" s="13"/>
      <c r="CRC156" s="13"/>
      <c r="CRS156" s="13"/>
      <c r="CSI156" s="13"/>
      <c r="CSY156" s="13"/>
      <c r="CTO156" s="13"/>
      <c r="CUE156" s="13"/>
      <c r="CUU156" s="13"/>
      <c r="CVK156" s="13"/>
      <c r="CWA156" s="13"/>
      <c r="CWQ156" s="13"/>
      <c r="CXG156" s="13"/>
      <c r="CXW156" s="13"/>
      <c r="CYM156" s="13"/>
      <c r="CZC156" s="13"/>
      <c r="CZS156" s="13"/>
      <c r="DAI156" s="13"/>
      <c r="DAY156" s="13"/>
      <c r="DBO156" s="13"/>
      <c r="DCE156" s="13"/>
      <c r="DCU156" s="13"/>
      <c r="DDK156" s="13"/>
      <c r="DEA156" s="13"/>
      <c r="DEQ156" s="13"/>
      <c r="DFG156" s="13"/>
      <c r="DFW156" s="13"/>
      <c r="DGM156" s="13"/>
      <c r="DHC156" s="13"/>
      <c r="DHS156" s="13"/>
      <c r="DII156" s="13"/>
      <c r="DIY156" s="13"/>
      <c r="DJO156" s="13"/>
      <c r="DKE156" s="13"/>
      <c r="DKU156" s="13"/>
      <c r="DLK156" s="13"/>
      <c r="DMA156" s="13"/>
      <c r="DMQ156" s="13"/>
      <c r="DNG156" s="13"/>
      <c r="DNW156" s="13"/>
      <c r="DOM156" s="13"/>
      <c r="DPC156" s="13"/>
      <c r="DPS156" s="13"/>
      <c r="DQI156" s="13"/>
      <c r="DQY156" s="13"/>
      <c r="DRO156" s="13"/>
      <c r="DSE156" s="13"/>
      <c r="DSU156" s="13"/>
      <c r="DTK156" s="13"/>
      <c r="DUA156" s="13"/>
      <c r="DUQ156" s="13"/>
      <c r="DVG156" s="13"/>
      <c r="DVW156" s="13"/>
      <c r="DWM156" s="13"/>
      <c r="DXC156" s="13"/>
      <c r="DXS156" s="13"/>
      <c r="DYI156" s="13"/>
      <c r="DYY156" s="13"/>
      <c r="DZO156" s="13"/>
      <c r="EAE156" s="13"/>
      <c r="EAU156" s="13"/>
      <c r="EBK156" s="13"/>
      <c r="ECA156" s="13"/>
      <c r="ECQ156" s="13"/>
      <c r="EDG156" s="13"/>
      <c r="EDW156" s="13"/>
      <c r="EEM156" s="13"/>
      <c r="EFC156" s="13"/>
      <c r="EFS156" s="13"/>
      <c r="EGI156" s="13"/>
      <c r="EGY156" s="13"/>
      <c r="EHO156" s="13"/>
      <c r="EIE156" s="13"/>
      <c r="EIU156" s="13"/>
      <c r="EJK156" s="13"/>
      <c r="EKA156" s="13"/>
      <c r="EKQ156" s="13"/>
      <c r="ELG156" s="13"/>
      <c r="ELW156" s="13"/>
      <c r="EMM156" s="13"/>
      <c r="ENC156" s="13"/>
      <c r="ENS156" s="13"/>
      <c r="EOI156" s="13"/>
      <c r="EOY156" s="13"/>
      <c r="EPO156" s="13"/>
      <c r="EQE156" s="13"/>
      <c r="EQU156" s="13"/>
      <c r="ERK156" s="13"/>
      <c r="ESA156" s="13"/>
      <c r="ESQ156" s="13"/>
      <c r="ETG156" s="13"/>
      <c r="ETW156" s="13"/>
      <c r="EUM156" s="13"/>
      <c r="EVC156" s="13"/>
      <c r="EVS156" s="13"/>
      <c r="EWI156" s="13"/>
      <c r="EWY156" s="13"/>
      <c r="EXO156" s="13"/>
      <c r="EYE156" s="13"/>
      <c r="EYU156" s="13"/>
      <c r="EZK156" s="13"/>
      <c r="FAA156" s="13"/>
      <c r="FAQ156" s="13"/>
      <c r="FBG156" s="13"/>
      <c r="FBW156" s="13"/>
      <c r="FCM156" s="13"/>
      <c r="FDC156" s="13"/>
      <c r="FDS156" s="13"/>
      <c r="FEI156" s="13"/>
      <c r="FEY156" s="13"/>
      <c r="FFO156" s="13"/>
      <c r="FGE156" s="13"/>
      <c r="FGU156" s="13"/>
      <c r="FHK156" s="13"/>
      <c r="FIA156" s="13"/>
      <c r="FIQ156" s="13"/>
      <c r="FJG156" s="13"/>
      <c r="FJW156" s="13"/>
      <c r="FKM156" s="13"/>
      <c r="FLC156" s="13"/>
      <c r="FLS156" s="13"/>
      <c r="FMI156" s="13"/>
      <c r="FMY156" s="13"/>
      <c r="FNO156" s="13"/>
      <c r="FOE156" s="13"/>
      <c r="FOU156" s="13"/>
      <c r="FPK156" s="13"/>
      <c r="FQA156" s="13"/>
      <c r="FQQ156" s="13"/>
      <c r="FRG156" s="13"/>
      <c r="FRW156" s="13"/>
      <c r="FSM156" s="13"/>
      <c r="FTC156" s="13"/>
      <c r="FTS156" s="13"/>
      <c r="FUI156" s="13"/>
      <c r="FUY156" s="13"/>
      <c r="FVO156" s="13"/>
      <c r="FWE156" s="13"/>
      <c r="FWU156" s="13"/>
      <c r="FXK156" s="13"/>
      <c r="FYA156" s="13"/>
      <c r="FYQ156" s="13"/>
      <c r="FZG156" s="13"/>
      <c r="FZW156" s="13"/>
      <c r="GAM156" s="13"/>
      <c r="GBC156" s="13"/>
      <c r="GBS156" s="13"/>
      <c r="GCI156" s="13"/>
      <c r="GCY156" s="13"/>
      <c r="GDO156" s="13"/>
      <c r="GEE156" s="13"/>
      <c r="GEU156" s="13"/>
      <c r="GFK156" s="13"/>
      <c r="GGA156" s="13"/>
      <c r="GGQ156" s="13"/>
      <c r="GHG156" s="13"/>
      <c r="GHW156" s="13"/>
      <c r="GIM156" s="13"/>
      <c r="GJC156" s="13"/>
      <c r="GJS156" s="13"/>
      <c r="GKI156" s="13"/>
      <c r="GKY156" s="13"/>
      <c r="GLO156" s="13"/>
      <c r="GME156" s="13"/>
      <c r="GMU156" s="13"/>
      <c r="GNK156" s="13"/>
      <c r="GOA156" s="13"/>
      <c r="GOQ156" s="13"/>
      <c r="GPG156" s="13"/>
      <c r="GPW156" s="13"/>
      <c r="GQM156" s="13"/>
      <c r="GRC156" s="13"/>
      <c r="GRS156" s="13"/>
      <c r="GSI156" s="13"/>
      <c r="GSY156" s="13"/>
      <c r="GTO156" s="13"/>
      <c r="GUE156" s="13"/>
      <c r="GUU156" s="13"/>
      <c r="GVK156" s="13"/>
      <c r="GWA156" s="13"/>
      <c r="GWQ156" s="13"/>
      <c r="GXG156" s="13"/>
      <c r="GXW156" s="13"/>
      <c r="GYM156" s="13"/>
      <c r="GZC156" s="13"/>
      <c r="GZS156" s="13"/>
      <c r="HAI156" s="13"/>
      <c r="HAY156" s="13"/>
      <c r="HBO156" s="13"/>
      <c r="HCE156" s="13"/>
      <c r="HCU156" s="13"/>
      <c r="HDK156" s="13"/>
      <c r="HEA156" s="13"/>
      <c r="HEQ156" s="13"/>
      <c r="HFG156" s="13"/>
      <c r="HFW156" s="13"/>
      <c r="HGM156" s="13"/>
      <c r="HHC156" s="13"/>
      <c r="HHS156" s="13"/>
      <c r="HII156" s="13"/>
      <c r="HIY156" s="13"/>
      <c r="HJO156" s="13"/>
      <c r="HKE156" s="13"/>
      <c r="HKU156" s="13"/>
      <c r="HLK156" s="13"/>
      <c r="HMA156" s="13"/>
      <c r="HMQ156" s="13"/>
      <c r="HNG156" s="13"/>
      <c r="HNW156" s="13"/>
      <c r="HOM156" s="13"/>
      <c r="HPC156" s="13"/>
      <c r="HPS156" s="13"/>
      <c r="HQI156" s="13"/>
      <c r="HQY156" s="13"/>
      <c r="HRO156" s="13"/>
      <c r="HSE156" s="13"/>
      <c r="HSU156" s="13"/>
      <c r="HTK156" s="13"/>
      <c r="HUA156" s="13"/>
      <c r="HUQ156" s="13"/>
      <c r="HVG156" s="13"/>
      <c r="HVW156" s="13"/>
      <c r="HWM156" s="13"/>
      <c r="HXC156" s="13"/>
      <c r="HXS156" s="13"/>
      <c r="HYI156" s="13"/>
      <c r="HYY156" s="13"/>
      <c r="HZO156" s="13"/>
      <c r="IAE156" s="13"/>
      <c r="IAU156" s="13"/>
      <c r="IBK156" s="13"/>
      <c r="ICA156" s="13"/>
      <c r="ICQ156" s="13"/>
      <c r="IDG156" s="13"/>
      <c r="IDW156" s="13"/>
      <c r="IEM156" s="13"/>
      <c r="IFC156" s="13"/>
      <c r="IFS156" s="13"/>
      <c r="IGI156" s="13"/>
      <c r="IGY156" s="13"/>
      <c r="IHO156" s="13"/>
      <c r="IIE156" s="13"/>
      <c r="IIU156" s="13"/>
      <c r="IJK156" s="13"/>
      <c r="IKA156" s="13"/>
      <c r="IKQ156" s="13"/>
      <c r="ILG156" s="13"/>
      <c r="ILW156" s="13"/>
      <c r="IMM156" s="13"/>
      <c r="INC156" s="13"/>
      <c r="INS156" s="13"/>
      <c r="IOI156" s="13"/>
      <c r="IOY156" s="13"/>
      <c r="IPO156" s="13"/>
      <c r="IQE156" s="13"/>
      <c r="IQU156" s="13"/>
      <c r="IRK156" s="13"/>
      <c r="ISA156" s="13"/>
      <c r="ISQ156" s="13"/>
      <c r="ITG156" s="13"/>
      <c r="ITW156" s="13"/>
      <c r="IUM156" s="13"/>
      <c r="IVC156" s="13"/>
      <c r="IVS156" s="13"/>
      <c r="IWI156" s="13"/>
      <c r="IWY156" s="13"/>
      <c r="IXO156" s="13"/>
      <c r="IYE156" s="13"/>
      <c r="IYU156" s="13"/>
      <c r="IZK156" s="13"/>
      <c r="JAA156" s="13"/>
      <c r="JAQ156" s="13"/>
      <c r="JBG156" s="13"/>
      <c r="JBW156" s="13"/>
      <c r="JCM156" s="13"/>
      <c r="JDC156" s="13"/>
      <c r="JDS156" s="13"/>
      <c r="JEI156" s="13"/>
      <c r="JEY156" s="13"/>
      <c r="JFO156" s="13"/>
      <c r="JGE156" s="13"/>
      <c r="JGU156" s="13"/>
      <c r="JHK156" s="13"/>
      <c r="JIA156" s="13"/>
      <c r="JIQ156" s="13"/>
      <c r="JJG156" s="13"/>
      <c r="JJW156" s="13"/>
      <c r="JKM156" s="13"/>
      <c r="JLC156" s="13"/>
      <c r="JLS156" s="13"/>
      <c r="JMI156" s="13"/>
      <c r="JMY156" s="13"/>
      <c r="JNO156" s="13"/>
      <c r="JOE156" s="13"/>
      <c r="JOU156" s="13"/>
      <c r="JPK156" s="13"/>
      <c r="JQA156" s="13"/>
      <c r="JQQ156" s="13"/>
      <c r="JRG156" s="13"/>
      <c r="JRW156" s="13"/>
      <c r="JSM156" s="13"/>
      <c r="JTC156" s="13"/>
      <c r="JTS156" s="13"/>
      <c r="JUI156" s="13"/>
      <c r="JUY156" s="13"/>
      <c r="JVO156" s="13"/>
      <c r="JWE156" s="13"/>
      <c r="JWU156" s="13"/>
      <c r="JXK156" s="13"/>
      <c r="JYA156" s="13"/>
      <c r="JYQ156" s="13"/>
      <c r="JZG156" s="13"/>
      <c r="JZW156" s="13"/>
      <c r="KAM156" s="13"/>
      <c r="KBC156" s="13"/>
      <c r="KBS156" s="13"/>
      <c r="KCI156" s="13"/>
      <c r="KCY156" s="13"/>
      <c r="KDO156" s="13"/>
      <c r="KEE156" s="13"/>
      <c r="KEU156" s="13"/>
      <c r="KFK156" s="13"/>
      <c r="KGA156" s="13"/>
      <c r="KGQ156" s="13"/>
      <c r="KHG156" s="13"/>
      <c r="KHW156" s="13"/>
      <c r="KIM156" s="13"/>
      <c r="KJC156" s="13"/>
      <c r="KJS156" s="13"/>
      <c r="KKI156" s="13"/>
      <c r="KKY156" s="13"/>
      <c r="KLO156" s="13"/>
      <c r="KME156" s="13"/>
      <c r="KMU156" s="13"/>
      <c r="KNK156" s="13"/>
      <c r="KOA156" s="13"/>
      <c r="KOQ156" s="13"/>
      <c r="KPG156" s="13"/>
      <c r="KPW156" s="13"/>
      <c r="KQM156" s="13"/>
      <c r="KRC156" s="13"/>
      <c r="KRS156" s="13"/>
      <c r="KSI156" s="13"/>
      <c r="KSY156" s="13"/>
      <c r="KTO156" s="13"/>
      <c r="KUE156" s="13"/>
      <c r="KUU156" s="13"/>
      <c r="KVK156" s="13"/>
      <c r="KWA156" s="13"/>
      <c r="KWQ156" s="13"/>
      <c r="KXG156" s="13"/>
      <c r="KXW156" s="13"/>
      <c r="KYM156" s="13"/>
      <c r="KZC156" s="13"/>
      <c r="KZS156" s="13"/>
      <c r="LAI156" s="13"/>
      <c r="LAY156" s="13"/>
      <c r="LBO156" s="13"/>
      <c r="LCE156" s="13"/>
      <c r="LCU156" s="13"/>
      <c r="LDK156" s="13"/>
      <c r="LEA156" s="13"/>
      <c r="LEQ156" s="13"/>
      <c r="LFG156" s="13"/>
      <c r="LFW156" s="13"/>
      <c r="LGM156" s="13"/>
      <c r="LHC156" s="13"/>
      <c r="LHS156" s="13"/>
      <c r="LII156" s="13"/>
      <c r="LIY156" s="13"/>
      <c r="LJO156" s="13"/>
      <c r="LKE156" s="13"/>
      <c r="LKU156" s="13"/>
      <c r="LLK156" s="13"/>
      <c r="LMA156" s="13"/>
      <c r="LMQ156" s="13"/>
      <c r="LNG156" s="13"/>
      <c r="LNW156" s="13"/>
      <c r="LOM156" s="13"/>
      <c r="LPC156" s="13"/>
      <c r="LPS156" s="13"/>
      <c r="LQI156" s="13"/>
      <c r="LQY156" s="13"/>
      <c r="LRO156" s="13"/>
      <c r="LSE156" s="13"/>
      <c r="LSU156" s="13"/>
      <c r="LTK156" s="13"/>
      <c r="LUA156" s="13"/>
      <c r="LUQ156" s="13"/>
      <c r="LVG156" s="13"/>
      <c r="LVW156" s="13"/>
      <c r="LWM156" s="13"/>
      <c r="LXC156" s="13"/>
      <c r="LXS156" s="13"/>
      <c r="LYI156" s="13"/>
      <c r="LYY156" s="13"/>
      <c r="LZO156" s="13"/>
      <c r="MAE156" s="13"/>
      <c r="MAU156" s="13"/>
      <c r="MBK156" s="13"/>
      <c r="MCA156" s="13"/>
      <c r="MCQ156" s="13"/>
      <c r="MDG156" s="13"/>
      <c r="MDW156" s="13"/>
      <c r="MEM156" s="13"/>
      <c r="MFC156" s="13"/>
      <c r="MFS156" s="13"/>
      <c r="MGI156" s="13"/>
      <c r="MGY156" s="13"/>
      <c r="MHO156" s="13"/>
      <c r="MIE156" s="13"/>
      <c r="MIU156" s="13"/>
      <c r="MJK156" s="13"/>
      <c r="MKA156" s="13"/>
      <c r="MKQ156" s="13"/>
      <c r="MLG156" s="13"/>
      <c r="MLW156" s="13"/>
      <c r="MMM156" s="13"/>
      <c r="MNC156" s="13"/>
      <c r="MNS156" s="13"/>
      <c r="MOI156" s="13"/>
      <c r="MOY156" s="13"/>
      <c r="MPO156" s="13"/>
      <c r="MQE156" s="13"/>
      <c r="MQU156" s="13"/>
      <c r="MRK156" s="13"/>
      <c r="MSA156" s="13"/>
      <c r="MSQ156" s="13"/>
      <c r="MTG156" s="13"/>
      <c r="MTW156" s="13"/>
      <c r="MUM156" s="13"/>
      <c r="MVC156" s="13"/>
      <c r="MVS156" s="13"/>
      <c r="MWI156" s="13"/>
      <c r="MWY156" s="13"/>
      <c r="MXO156" s="13"/>
      <c r="MYE156" s="13"/>
      <c r="MYU156" s="13"/>
      <c r="MZK156" s="13"/>
      <c r="NAA156" s="13"/>
      <c r="NAQ156" s="13"/>
      <c r="NBG156" s="13"/>
      <c r="NBW156" s="13"/>
      <c r="NCM156" s="13"/>
      <c r="NDC156" s="13"/>
      <c r="NDS156" s="13"/>
      <c r="NEI156" s="13"/>
      <c r="NEY156" s="13"/>
      <c r="NFO156" s="13"/>
      <c r="NGE156" s="13"/>
      <c r="NGU156" s="13"/>
      <c r="NHK156" s="13"/>
      <c r="NIA156" s="13"/>
      <c r="NIQ156" s="13"/>
      <c r="NJG156" s="13"/>
      <c r="NJW156" s="13"/>
      <c r="NKM156" s="13"/>
      <c r="NLC156" s="13"/>
      <c r="NLS156" s="13"/>
      <c r="NMI156" s="13"/>
      <c r="NMY156" s="13"/>
      <c r="NNO156" s="13"/>
      <c r="NOE156" s="13"/>
      <c r="NOU156" s="13"/>
      <c r="NPK156" s="13"/>
      <c r="NQA156" s="13"/>
      <c r="NQQ156" s="13"/>
      <c r="NRG156" s="13"/>
      <c r="NRW156" s="13"/>
      <c r="NSM156" s="13"/>
      <c r="NTC156" s="13"/>
      <c r="NTS156" s="13"/>
      <c r="NUI156" s="13"/>
      <c r="NUY156" s="13"/>
      <c r="NVO156" s="13"/>
      <c r="NWE156" s="13"/>
      <c r="NWU156" s="13"/>
      <c r="NXK156" s="13"/>
      <c r="NYA156" s="13"/>
      <c r="NYQ156" s="13"/>
      <c r="NZG156" s="13"/>
      <c r="NZW156" s="13"/>
      <c r="OAM156" s="13"/>
      <c r="OBC156" s="13"/>
      <c r="OBS156" s="13"/>
      <c r="OCI156" s="13"/>
      <c r="OCY156" s="13"/>
      <c r="ODO156" s="13"/>
      <c r="OEE156" s="13"/>
      <c r="OEU156" s="13"/>
      <c r="OFK156" s="13"/>
      <c r="OGA156" s="13"/>
      <c r="OGQ156" s="13"/>
      <c r="OHG156" s="13"/>
      <c r="OHW156" s="13"/>
      <c r="OIM156" s="13"/>
      <c r="OJC156" s="13"/>
      <c r="OJS156" s="13"/>
      <c r="OKI156" s="13"/>
      <c r="OKY156" s="13"/>
      <c r="OLO156" s="13"/>
      <c r="OME156" s="13"/>
      <c r="OMU156" s="13"/>
      <c r="ONK156" s="13"/>
      <c r="OOA156" s="13"/>
      <c r="OOQ156" s="13"/>
      <c r="OPG156" s="13"/>
      <c r="OPW156" s="13"/>
      <c r="OQM156" s="13"/>
      <c r="ORC156" s="13"/>
      <c r="ORS156" s="13"/>
      <c r="OSI156" s="13"/>
      <c r="OSY156" s="13"/>
      <c r="OTO156" s="13"/>
      <c r="OUE156" s="13"/>
      <c r="OUU156" s="13"/>
      <c r="OVK156" s="13"/>
      <c r="OWA156" s="13"/>
      <c r="OWQ156" s="13"/>
      <c r="OXG156" s="13"/>
      <c r="OXW156" s="13"/>
      <c r="OYM156" s="13"/>
      <c r="OZC156" s="13"/>
      <c r="OZS156" s="13"/>
      <c r="PAI156" s="13"/>
      <c r="PAY156" s="13"/>
      <c r="PBO156" s="13"/>
      <c r="PCE156" s="13"/>
      <c r="PCU156" s="13"/>
      <c r="PDK156" s="13"/>
      <c r="PEA156" s="13"/>
      <c r="PEQ156" s="13"/>
      <c r="PFG156" s="13"/>
      <c r="PFW156" s="13"/>
      <c r="PGM156" s="13"/>
      <c r="PHC156" s="13"/>
      <c r="PHS156" s="13"/>
      <c r="PII156" s="13"/>
      <c r="PIY156" s="13"/>
      <c r="PJO156" s="13"/>
      <c r="PKE156" s="13"/>
      <c r="PKU156" s="13"/>
      <c r="PLK156" s="13"/>
      <c r="PMA156" s="13"/>
      <c r="PMQ156" s="13"/>
      <c r="PNG156" s="13"/>
      <c r="PNW156" s="13"/>
      <c r="POM156" s="13"/>
      <c r="PPC156" s="13"/>
      <c r="PPS156" s="13"/>
      <c r="PQI156" s="13"/>
      <c r="PQY156" s="13"/>
      <c r="PRO156" s="13"/>
      <c r="PSE156" s="13"/>
      <c r="PSU156" s="13"/>
      <c r="PTK156" s="13"/>
      <c r="PUA156" s="13"/>
      <c r="PUQ156" s="13"/>
      <c r="PVG156" s="13"/>
      <c r="PVW156" s="13"/>
      <c r="PWM156" s="13"/>
      <c r="PXC156" s="13"/>
      <c r="PXS156" s="13"/>
      <c r="PYI156" s="13"/>
      <c r="PYY156" s="13"/>
      <c r="PZO156" s="13"/>
      <c r="QAE156" s="13"/>
      <c r="QAU156" s="13"/>
      <c r="QBK156" s="13"/>
      <c r="QCA156" s="13"/>
      <c r="QCQ156" s="13"/>
      <c r="QDG156" s="13"/>
      <c r="QDW156" s="13"/>
      <c r="QEM156" s="13"/>
      <c r="QFC156" s="13"/>
      <c r="QFS156" s="13"/>
      <c r="QGI156" s="13"/>
      <c r="QGY156" s="13"/>
      <c r="QHO156" s="13"/>
      <c r="QIE156" s="13"/>
      <c r="QIU156" s="13"/>
      <c r="QJK156" s="13"/>
      <c r="QKA156" s="13"/>
      <c r="QKQ156" s="13"/>
      <c r="QLG156" s="13"/>
      <c r="QLW156" s="13"/>
      <c r="QMM156" s="13"/>
      <c r="QNC156" s="13"/>
      <c r="QNS156" s="13"/>
      <c r="QOI156" s="13"/>
      <c r="QOY156" s="13"/>
      <c r="QPO156" s="13"/>
      <c r="QQE156" s="13"/>
      <c r="QQU156" s="13"/>
      <c r="QRK156" s="13"/>
      <c r="QSA156" s="13"/>
      <c r="QSQ156" s="13"/>
      <c r="QTG156" s="13"/>
      <c r="QTW156" s="13"/>
      <c r="QUM156" s="13"/>
      <c r="QVC156" s="13"/>
      <c r="QVS156" s="13"/>
      <c r="QWI156" s="13"/>
      <c r="QWY156" s="13"/>
      <c r="QXO156" s="13"/>
      <c r="QYE156" s="13"/>
      <c r="QYU156" s="13"/>
      <c r="QZK156" s="13"/>
      <c r="RAA156" s="13"/>
      <c r="RAQ156" s="13"/>
      <c r="RBG156" s="13"/>
      <c r="RBW156" s="13"/>
      <c r="RCM156" s="13"/>
      <c r="RDC156" s="13"/>
      <c r="RDS156" s="13"/>
      <c r="REI156" s="13"/>
      <c r="REY156" s="13"/>
      <c r="RFO156" s="13"/>
      <c r="RGE156" s="13"/>
      <c r="RGU156" s="13"/>
      <c r="RHK156" s="13"/>
      <c r="RIA156" s="13"/>
      <c r="RIQ156" s="13"/>
      <c r="RJG156" s="13"/>
      <c r="RJW156" s="13"/>
      <c r="RKM156" s="13"/>
      <c r="RLC156" s="13"/>
      <c r="RLS156" s="13"/>
      <c r="RMI156" s="13"/>
      <c r="RMY156" s="13"/>
      <c r="RNO156" s="13"/>
      <c r="ROE156" s="13"/>
      <c r="ROU156" s="13"/>
      <c r="RPK156" s="13"/>
      <c r="RQA156" s="13"/>
      <c r="RQQ156" s="13"/>
      <c r="RRG156" s="13"/>
      <c r="RRW156" s="13"/>
      <c r="RSM156" s="13"/>
      <c r="RTC156" s="13"/>
      <c r="RTS156" s="13"/>
      <c r="RUI156" s="13"/>
      <c r="RUY156" s="13"/>
      <c r="RVO156" s="13"/>
      <c r="RWE156" s="13"/>
      <c r="RWU156" s="13"/>
      <c r="RXK156" s="13"/>
      <c r="RYA156" s="13"/>
      <c r="RYQ156" s="13"/>
      <c r="RZG156" s="13"/>
      <c r="RZW156" s="13"/>
      <c r="SAM156" s="13"/>
      <c r="SBC156" s="13"/>
      <c r="SBS156" s="13"/>
      <c r="SCI156" s="13"/>
      <c r="SCY156" s="13"/>
      <c r="SDO156" s="13"/>
      <c r="SEE156" s="13"/>
      <c r="SEU156" s="13"/>
      <c r="SFK156" s="13"/>
      <c r="SGA156" s="13"/>
      <c r="SGQ156" s="13"/>
      <c r="SHG156" s="13"/>
      <c r="SHW156" s="13"/>
      <c r="SIM156" s="13"/>
      <c r="SJC156" s="13"/>
      <c r="SJS156" s="13"/>
      <c r="SKI156" s="13"/>
      <c r="SKY156" s="13"/>
      <c r="SLO156" s="13"/>
      <c r="SME156" s="13"/>
      <c r="SMU156" s="13"/>
      <c r="SNK156" s="13"/>
      <c r="SOA156" s="13"/>
      <c r="SOQ156" s="13"/>
      <c r="SPG156" s="13"/>
      <c r="SPW156" s="13"/>
      <c r="SQM156" s="13"/>
      <c r="SRC156" s="13"/>
      <c r="SRS156" s="13"/>
      <c r="SSI156" s="13"/>
      <c r="SSY156" s="13"/>
      <c r="STO156" s="13"/>
      <c r="SUE156" s="13"/>
      <c r="SUU156" s="13"/>
      <c r="SVK156" s="13"/>
      <c r="SWA156" s="13"/>
      <c r="SWQ156" s="13"/>
      <c r="SXG156" s="13"/>
      <c r="SXW156" s="13"/>
      <c r="SYM156" s="13"/>
      <c r="SZC156" s="13"/>
      <c r="SZS156" s="13"/>
      <c r="TAI156" s="13"/>
      <c r="TAY156" s="13"/>
      <c r="TBO156" s="13"/>
      <c r="TCE156" s="13"/>
      <c r="TCU156" s="13"/>
      <c r="TDK156" s="13"/>
      <c r="TEA156" s="13"/>
      <c r="TEQ156" s="13"/>
      <c r="TFG156" s="13"/>
      <c r="TFW156" s="13"/>
      <c r="TGM156" s="13"/>
      <c r="THC156" s="13"/>
      <c r="THS156" s="13"/>
      <c r="TII156" s="13"/>
      <c r="TIY156" s="13"/>
      <c r="TJO156" s="13"/>
      <c r="TKE156" s="13"/>
      <c r="TKU156" s="13"/>
      <c r="TLK156" s="13"/>
      <c r="TMA156" s="13"/>
      <c r="TMQ156" s="13"/>
      <c r="TNG156" s="13"/>
      <c r="TNW156" s="13"/>
      <c r="TOM156" s="13"/>
      <c r="TPC156" s="13"/>
      <c r="TPS156" s="13"/>
      <c r="TQI156" s="13"/>
      <c r="TQY156" s="13"/>
      <c r="TRO156" s="13"/>
      <c r="TSE156" s="13"/>
      <c r="TSU156" s="13"/>
      <c r="TTK156" s="13"/>
      <c r="TUA156" s="13"/>
      <c r="TUQ156" s="13"/>
      <c r="TVG156" s="13"/>
      <c r="TVW156" s="13"/>
      <c r="TWM156" s="13"/>
      <c r="TXC156" s="13"/>
      <c r="TXS156" s="13"/>
      <c r="TYI156" s="13"/>
      <c r="TYY156" s="13"/>
      <c r="TZO156" s="13"/>
      <c r="UAE156" s="13"/>
      <c r="UAU156" s="13"/>
      <c r="UBK156" s="13"/>
      <c r="UCA156" s="13"/>
      <c r="UCQ156" s="13"/>
      <c r="UDG156" s="13"/>
      <c r="UDW156" s="13"/>
      <c r="UEM156" s="13"/>
      <c r="UFC156" s="13"/>
      <c r="UFS156" s="13"/>
      <c r="UGI156" s="13"/>
      <c r="UGY156" s="13"/>
      <c r="UHO156" s="13"/>
      <c r="UIE156" s="13"/>
      <c r="UIU156" s="13"/>
      <c r="UJK156" s="13"/>
      <c r="UKA156" s="13"/>
      <c r="UKQ156" s="13"/>
      <c r="ULG156" s="13"/>
      <c r="ULW156" s="13"/>
      <c r="UMM156" s="13"/>
      <c r="UNC156" s="13"/>
      <c r="UNS156" s="13"/>
      <c r="UOI156" s="13"/>
      <c r="UOY156" s="13"/>
      <c r="UPO156" s="13"/>
      <c r="UQE156" s="13"/>
      <c r="UQU156" s="13"/>
      <c r="URK156" s="13"/>
      <c r="USA156" s="13"/>
      <c r="USQ156" s="13"/>
      <c r="UTG156" s="13"/>
      <c r="UTW156" s="13"/>
      <c r="UUM156" s="13"/>
      <c r="UVC156" s="13"/>
      <c r="UVS156" s="13"/>
      <c r="UWI156" s="13"/>
      <c r="UWY156" s="13"/>
      <c r="UXO156" s="13"/>
      <c r="UYE156" s="13"/>
      <c r="UYU156" s="13"/>
      <c r="UZK156" s="13"/>
      <c r="VAA156" s="13"/>
      <c r="VAQ156" s="13"/>
      <c r="VBG156" s="13"/>
      <c r="VBW156" s="13"/>
      <c r="VCM156" s="13"/>
      <c r="VDC156" s="13"/>
      <c r="VDS156" s="13"/>
      <c r="VEI156" s="13"/>
      <c r="VEY156" s="13"/>
      <c r="VFO156" s="13"/>
      <c r="VGE156" s="13"/>
      <c r="VGU156" s="13"/>
      <c r="VHK156" s="13"/>
      <c r="VIA156" s="13"/>
      <c r="VIQ156" s="13"/>
      <c r="VJG156" s="13"/>
      <c r="VJW156" s="13"/>
      <c r="VKM156" s="13"/>
      <c r="VLC156" s="13"/>
      <c r="VLS156" s="13"/>
      <c r="VMI156" s="13"/>
      <c r="VMY156" s="13"/>
      <c r="VNO156" s="13"/>
      <c r="VOE156" s="13"/>
      <c r="VOU156" s="13"/>
      <c r="VPK156" s="13"/>
      <c r="VQA156" s="13"/>
      <c r="VQQ156" s="13"/>
      <c r="VRG156" s="13"/>
      <c r="VRW156" s="13"/>
      <c r="VSM156" s="13"/>
      <c r="VTC156" s="13"/>
      <c r="VTS156" s="13"/>
      <c r="VUI156" s="13"/>
      <c r="VUY156" s="13"/>
      <c r="VVO156" s="13"/>
      <c r="VWE156" s="13"/>
      <c r="VWU156" s="13"/>
      <c r="VXK156" s="13"/>
      <c r="VYA156" s="13"/>
      <c r="VYQ156" s="13"/>
      <c r="VZG156" s="13"/>
      <c r="VZW156" s="13"/>
      <c r="WAM156" s="13"/>
      <c r="WBC156" s="13"/>
      <c r="WBS156" s="13"/>
      <c r="WCI156" s="13"/>
      <c r="WCY156" s="13"/>
      <c r="WDO156" s="13"/>
      <c r="WEE156" s="13"/>
      <c r="WEU156" s="13"/>
      <c r="WFK156" s="13"/>
      <c r="WGA156" s="13"/>
      <c r="WGQ156" s="13"/>
      <c r="WHG156" s="13"/>
      <c r="WHW156" s="13"/>
      <c r="WIM156" s="13"/>
      <c r="WJC156" s="13"/>
      <c r="WJS156" s="13"/>
      <c r="WKI156" s="13"/>
      <c r="WKY156" s="13"/>
      <c r="WLO156" s="13"/>
      <c r="WME156" s="13"/>
      <c r="WMU156" s="13"/>
      <c r="WNK156" s="13"/>
      <c r="WOA156" s="13"/>
      <c r="WOQ156" s="13"/>
      <c r="WPG156" s="13"/>
      <c r="WPW156" s="13"/>
      <c r="WQM156" s="13"/>
      <c r="WRC156" s="13"/>
      <c r="WRS156" s="13"/>
      <c r="WSI156" s="13"/>
      <c r="WSY156" s="13"/>
      <c r="WTO156" s="13"/>
      <c r="WUE156" s="13"/>
      <c r="WUU156" s="13"/>
      <c r="WVK156" s="13"/>
      <c r="WWA156" s="13"/>
      <c r="WWQ156" s="13"/>
      <c r="WXG156" s="13"/>
      <c r="WXW156" s="13"/>
      <c r="WYM156" s="13"/>
      <c r="WZC156" s="13"/>
      <c r="WZS156" s="13"/>
      <c r="XAI156" s="13"/>
      <c r="XAY156" s="13"/>
      <c r="XBO156" s="13"/>
      <c r="XCE156" s="13"/>
      <c r="XCU156" s="13"/>
      <c r="XDK156" s="13"/>
      <c r="XEA156" s="13"/>
      <c r="XEQ156" s="13"/>
    </row>
    <row r="157" spans="1:1016 1027:2040 2051:3064 3075:4088 4099:5112 5123:6136 6147:7160 7171:8184 8195:9208 9219:10232 10243:11256 11267:12280 12291:13304 13315:14328 14339:15352 15363:16376" ht="32.4" customHeight="1" x14ac:dyDescent="0.2">
      <c r="A157" s="83" t="s">
        <v>42</v>
      </c>
      <c r="B157" s="84"/>
      <c r="C157" s="84"/>
      <c r="D157" s="84"/>
      <c r="E157" s="85"/>
      <c r="F157" s="48"/>
      <c r="G157" s="42" t="str">
        <f>G$13</f>
        <v>G13</v>
      </c>
      <c r="H157" s="42" t="str">
        <f t="shared" ref="H157:Q157" si="39">H$13</f>
        <v>H13</v>
      </c>
      <c r="I157" s="42" t="str">
        <f t="shared" si="39"/>
        <v>I13</v>
      </c>
      <c r="J157" s="42" t="str">
        <f t="shared" si="39"/>
        <v>J13</v>
      </c>
      <c r="K157" s="42" t="str">
        <f t="shared" si="39"/>
        <v>K13</v>
      </c>
      <c r="L157" s="42" t="str">
        <f t="shared" si="39"/>
        <v>L13</v>
      </c>
      <c r="M157" s="42" t="str">
        <f t="shared" si="39"/>
        <v>M13</v>
      </c>
      <c r="N157" s="42" t="str">
        <f t="shared" si="39"/>
        <v>N13</v>
      </c>
      <c r="O157" s="20" t="str">
        <f t="shared" si="39"/>
        <v>O13</v>
      </c>
      <c r="P157" s="20" t="str">
        <f t="shared" si="39"/>
        <v>P13</v>
      </c>
      <c r="Q157" s="42" t="str">
        <f t="shared" si="39"/>
        <v>Q13</v>
      </c>
      <c r="R157" s="43" t="s">
        <v>8</v>
      </c>
    </row>
    <row r="158" spans="1:1016 1027:2040 2051:3064 3075:4088 4099:5112 5123:6136 6147:7160 7171:8184 8195:9208 9219:10232 10243:11256 11267:12280 12291:13304 13315:14328 14339:15352 15363:16376" s="51" customFormat="1" ht="14.4" x14ac:dyDescent="0.2">
      <c r="A158" s="77" t="s">
        <v>35</v>
      </c>
      <c r="B158" s="78"/>
      <c r="C158" s="79"/>
      <c r="D158" s="32"/>
      <c r="E158" s="33"/>
      <c r="F158" s="49"/>
      <c r="G158" s="41"/>
      <c r="H158" s="41"/>
      <c r="I158" s="41"/>
      <c r="J158" s="41"/>
      <c r="K158" s="41"/>
      <c r="L158" s="41"/>
      <c r="M158" s="41"/>
      <c r="N158" s="41"/>
      <c r="O158" s="47"/>
      <c r="P158" s="47"/>
      <c r="Q158" s="47"/>
      <c r="R158" s="44">
        <f>SUM(G158:N158)</f>
        <v>0</v>
      </c>
      <c r="S158" s="1"/>
      <c r="T158" s="1"/>
      <c r="U158" s="1"/>
      <c r="V158" s="1"/>
      <c r="W158" s="1"/>
      <c r="X158" s="14"/>
      <c r="AI158" s="1"/>
      <c r="AJ158" s="1"/>
      <c r="AK158" s="1"/>
      <c r="AL158" s="1"/>
      <c r="AM158" s="1"/>
      <c r="AN158" s="14"/>
      <c r="AY158" s="1"/>
      <c r="AZ158" s="1"/>
      <c r="BA158" s="1"/>
      <c r="BB158" s="1"/>
      <c r="BC158" s="1"/>
      <c r="BD158" s="14"/>
      <c r="BO158" s="1"/>
      <c r="BP158" s="1"/>
      <c r="BQ158" s="1"/>
      <c r="BR158" s="1"/>
      <c r="BS158" s="1"/>
      <c r="BT158" s="14"/>
      <c r="CE158" s="1"/>
      <c r="CF158" s="1"/>
      <c r="CG158" s="1"/>
      <c r="CH158" s="1"/>
      <c r="CI158" s="1"/>
      <c r="CJ158" s="14"/>
      <c r="CU158" s="1"/>
      <c r="CV158" s="1"/>
      <c r="CW158" s="1"/>
      <c r="CX158" s="1"/>
      <c r="CY158" s="1"/>
      <c r="CZ158" s="14"/>
      <c r="DK158" s="1"/>
      <c r="DL158" s="1"/>
      <c r="DM158" s="1"/>
      <c r="DN158" s="1"/>
      <c r="DO158" s="1"/>
      <c r="DP158" s="14"/>
      <c r="EA158" s="1"/>
      <c r="EB158" s="1"/>
      <c r="EC158" s="1"/>
      <c r="ED158" s="1"/>
      <c r="EE158" s="1"/>
      <c r="EF158" s="14"/>
      <c r="EQ158" s="1"/>
      <c r="ER158" s="1"/>
      <c r="ES158" s="1"/>
      <c r="ET158" s="1"/>
      <c r="EU158" s="1"/>
      <c r="EV158" s="14"/>
      <c r="FG158" s="1"/>
      <c r="FH158" s="1"/>
      <c r="FI158" s="1"/>
      <c r="FJ158" s="1"/>
      <c r="FK158" s="1"/>
      <c r="FL158" s="14"/>
      <c r="FW158" s="1"/>
      <c r="FX158" s="1"/>
      <c r="FY158" s="1"/>
      <c r="FZ158" s="1"/>
      <c r="GA158" s="1"/>
      <c r="GB158" s="14"/>
      <c r="GM158" s="1"/>
      <c r="GN158" s="1"/>
      <c r="GO158" s="1"/>
      <c r="GP158" s="1"/>
      <c r="GQ158" s="1"/>
      <c r="GR158" s="14"/>
      <c r="HC158" s="1"/>
      <c r="HD158" s="1"/>
      <c r="HE158" s="1"/>
      <c r="HF158" s="1"/>
      <c r="HG158" s="1"/>
      <c r="HH158" s="14"/>
      <c r="HS158" s="1"/>
      <c r="HT158" s="1"/>
      <c r="HU158" s="1"/>
      <c r="HV158" s="1"/>
      <c r="HW158" s="1"/>
      <c r="HX158" s="14"/>
      <c r="II158" s="1"/>
      <c r="IJ158" s="1"/>
      <c r="IK158" s="1"/>
      <c r="IL158" s="1"/>
      <c r="IM158" s="1"/>
      <c r="IN158" s="14"/>
      <c r="IY158" s="1"/>
      <c r="IZ158" s="1"/>
      <c r="JA158" s="1"/>
      <c r="JB158" s="1"/>
      <c r="JC158" s="1"/>
      <c r="JD158" s="14"/>
      <c r="JO158" s="1"/>
      <c r="JP158" s="1"/>
      <c r="JQ158" s="1"/>
      <c r="JR158" s="1"/>
      <c r="JS158" s="1"/>
      <c r="JT158" s="14"/>
      <c r="KE158" s="1"/>
      <c r="KF158" s="1"/>
      <c r="KG158" s="1"/>
      <c r="KH158" s="1"/>
      <c r="KI158" s="1"/>
      <c r="KJ158" s="14"/>
      <c r="KU158" s="1"/>
      <c r="KV158" s="1"/>
      <c r="KW158" s="1"/>
      <c r="KX158" s="1"/>
      <c r="KY158" s="1"/>
      <c r="KZ158" s="14"/>
      <c r="LK158" s="1"/>
      <c r="LL158" s="1"/>
      <c r="LM158" s="1"/>
      <c r="LN158" s="1"/>
      <c r="LO158" s="1"/>
      <c r="LP158" s="14"/>
      <c r="MA158" s="1"/>
      <c r="MB158" s="1"/>
      <c r="MC158" s="1"/>
      <c r="MD158" s="1"/>
      <c r="ME158" s="1"/>
      <c r="MF158" s="14"/>
      <c r="MQ158" s="1"/>
      <c r="MR158" s="1"/>
      <c r="MS158" s="1"/>
      <c r="MT158" s="1"/>
      <c r="MU158" s="1"/>
      <c r="MV158" s="14"/>
      <c r="NG158" s="1"/>
      <c r="NH158" s="1"/>
      <c r="NI158" s="1"/>
      <c r="NJ158" s="1"/>
      <c r="NK158" s="1"/>
      <c r="NL158" s="14"/>
      <c r="NW158" s="1"/>
      <c r="NX158" s="1"/>
      <c r="NY158" s="1"/>
      <c r="NZ158" s="1"/>
      <c r="OA158" s="1"/>
      <c r="OB158" s="14"/>
      <c r="OM158" s="1"/>
      <c r="ON158" s="1"/>
      <c r="OO158" s="1"/>
      <c r="OP158" s="1"/>
      <c r="OQ158" s="1"/>
      <c r="OR158" s="14"/>
      <c r="PC158" s="1"/>
      <c r="PD158" s="1"/>
      <c r="PE158" s="1"/>
      <c r="PF158" s="1"/>
      <c r="PG158" s="1"/>
      <c r="PH158" s="14"/>
      <c r="PS158" s="1"/>
      <c r="PT158" s="1"/>
      <c r="PU158" s="1"/>
      <c r="PV158" s="1"/>
      <c r="PW158" s="1"/>
      <c r="PX158" s="14"/>
      <c r="QI158" s="1"/>
      <c r="QJ158" s="1"/>
      <c r="QK158" s="1"/>
      <c r="QL158" s="1"/>
      <c r="QM158" s="1"/>
      <c r="QN158" s="14"/>
      <c r="QY158" s="1"/>
      <c r="QZ158" s="1"/>
      <c r="RA158" s="1"/>
      <c r="RB158" s="1"/>
      <c r="RC158" s="1"/>
      <c r="RD158" s="14"/>
      <c r="RO158" s="1"/>
      <c r="RP158" s="1"/>
      <c r="RQ158" s="1"/>
      <c r="RR158" s="1"/>
      <c r="RS158" s="1"/>
      <c r="RT158" s="14"/>
      <c r="SE158" s="1"/>
      <c r="SF158" s="1"/>
      <c r="SG158" s="1"/>
      <c r="SH158" s="1"/>
      <c r="SI158" s="1"/>
      <c r="SJ158" s="14"/>
      <c r="SU158" s="1"/>
      <c r="SV158" s="1"/>
      <c r="SW158" s="1"/>
      <c r="SX158" s="1"/>
      <c r="SY158" s="1"/>
      <c r="SZ158" s="14"/>
      <c r="TK158" s="1"/>
      <c r="TL158" s="1"/>
      <c r="TM158" s="1"/>
      <c r="TN158" s="1"/>
      <c r="TO158" s="1"/>
      <c r="TP158" s="14"/>
      <c r="UA158" s="1"/>
      <c r="UB158" s="1"/>
      <c r="UC158" s="1"/>
      <c r="UD158" s="1"/>
      <c r="UE158" s="1"/>
      <c r="UF158" s="14"/>
      <c r="UQ158" s="1"/>
      <c r="UR158" s="1"/>
      <c r="US158" s="1"/>
      <c r="UT158" s="1"/>
      <c r="UU158" s="1"/>
      <c r="UV158" s="14"/>
      <c r="VG158" s="1"/>
      <c r="VH158" s="1"/>
      <c r="VI158" s="1"/>
      <c r="VJ158" s="1"/>
      <c r="VK158" s="1"/>
      <c r="VL158" s="14"/>
      <c r="VW158" s="1"/>
      <c r="VX158" s="1"/>
      <c r="VY158" s="1"/>
      <c r="VZ158" s="1"/>
      <c r="WA158" s="1"/>
      <c r="WB158" s="14"/>
      <c r="WM158" s="1"/>
      <c r="WN158" s="1"/>
      <c r="WO158" s="1"/>
      <c r="WP158" s="1"/>
      <c r="WQ158" s="1"/>
      <c r="WR158" s="14"/>
      <c r="XC158" s="1"/>
      <c r="XD158" s="1"/>
      <c r="XE158" s="1"/>
      <c r="XF158" s="1"/>
      <c r="XG158" s="1"/>
      <c r="XH158" s="14"/>
      <c r="XS158" s="1"/>
      <c r="XT158" s="1"/>
      <c r="XU158" s="1"/>
      <c r="XV158" s="1"/>
      <c r="XW158" s="1"/>
      <c r="XX158" s="14"/>
      <c r="YI158" s="1"/>
      <c r="YJ158" s="1"/>
      <c r="YK158" s="1"/>
      <c r="YL158" s="1"/>
      <c r="YM158" s="1"/>
      <c r="YN158" s="14"/>
      <c r="YY158" s="1"/>
      <c r="YZ158" s="1"/>
      <c r="ZA158" s="1"/>
      <c r="ZB158" s="1"/>
      <c r="ZC158" s="1"/>
      <c r="ZD158" s="14"/>
      <c r="ZO158" s="1"/>
      <c r="ZP158" s="1"/>
      <c r="ZQ158" s="1"/>
      <c r="ZR158" s="1"/>
      <c r="ZS158" s="1"/>
      <c r="ZT158" s="14"/>
      <c r="AAE158" s="1"/>
      <c r="AAF158" s="1"/>
      <c r="AAG158" s="1"/>
      <c r="AAH158" s="1"/>
      <c r="AAI158" s="1"/>
      <c r="AAJ158" s="14"/>
      <c r="AAU158" s="1"/>
      <c r="AAV158" s="1"/>
      <c r="AAW158" s="1"/>
      <c r="AAX158" s="1"/>
      <c r="AAY158" s="1"/>
      <c r="AAZ158" s="14"/>
      <c r="ABK158" s="1"/>
      <c r="ABL158" s="1"/>
      <c r="ABM158" s="1"/>
      <c r="ABN158" s="1"/>
      <c r="ABO158" s="1"/>
      <c r="ABP158" s="14"/>
      <c r="ACA158" s="1"/>
      <c r="ACB158" s="1"/>
      <c r="ACC158" s="1"/>
      <c r="ACD158" s="1"/>
      <c r="ACE158" s="1"/>
      <c r="ACF158" s="14"/>
      <c r="ACQ158" s="1"/>
      <c r="ACR158" s="1"/>
      <c r="ACS158" s="1"/>
      <c r="ACT158" s="1"/>
      <c r="ACU158" s="1"/>
      <c r="ACV158" s="14"/>
      <c r="ADG158" s="1"/>
      <c r="ADH158" s="1"/>
      <c r="ADI158" s="1"/>
      <c r="ADJ158" s="1"/>
      <c r="ADK158" s="1"/>
      <c r="ADL158" s="14"/>
      <c r="ADW158" s="1"/>
      <c r="ADX158" s="1"/>
      <c r="ADY158" s="1"/>
      <c r="ADZ158" s="1"/>
      <c r="AEA158" s="1"/>
      <c r="AEB158" s="14"/>
      <c r="AEM158" s="1"/>
      <c r="AEN158" s="1"/>
      <c r="AEO158" s="1"/>
      <c r="AEP158" s="1"/>
      <c r="AEQ158" s="1"/>
      <c r="AER158" s="14"/>
      <c r="AFC158" s="1"/>
      <c r="AFD158" s="1"/>
      <c r="AFE158" s="1"/>
      <c r="AFF158" s="1"/>
      <c r="AFG158" s="1"/>
      <c r="AFH158" s="14"/>
      <c r="AFS158" s="1"/>
      <c r="AFT158" s="1"/>
      <c r="AFU158" s="1"/>
      <c r="AFV158" s="1"/>
      <c r="AFW158" s="1"/>
      <c r="AFX158" s="14"/>
      <c r="AGI158" s="1"/>
      <c r="AGJ158" s="1"/>
      <c r="AGK158" s="1"/>
      <c r="AGL158" s="1"/>
      <c r="AGM158" s="1"/>
      <c r="AGN158" s="14"/>
      <c r="AGY158" s="1"/>
      <c r="AGZ158" s="1"/>
      <c r="AHA158" s="1"/>
      <c r="AHB158" s="1"/>
      <c r="AHC158" s="1"/>
      <c r="AHD158" s="14"/>
      <c r="AHO158" s="1"/>
      <c r="AHP158" s="1"/>
      <c r="AHQ158" s="1"/>
      <c r="AHR158" s="1"/>
      <c r="AHS158" s="1"/>
      <c r="AHT158" s="14"/>
      <c r="AIE158" s="1"/>
      <c r="AIF158" s="1"/>
      <c r="AIG158" s="1"/>
      <c r="AIH158" s="1"/>
      <c r="AII158" s="1"/>
      <c r="AIJ158" s="14"/>
      <c r="AIU158" s="1"/>
      <c r="AIV158" s="1"/>
      <c r="AIW158" s="1"/>
      <c r="AIX158" s="1"/>
      <c r="AIY158" s="1"/>
      <c r="AIZ158" s="14"/>
      <c r="AJK158" s="1"/>
      <c r="AJL158" s="1"/>
      <c r="AJM158" s="1"/>
      <c r="AJN158" s="1"/>
      <c r="AJO158" s="1"/>
      <c r="AJP158" s="14"/>
      <c r="AKA158" s="1"/>
      <c r="AKB158" s="1"/>
      <c r="AKC158" s="1"/>
      <c r="AKD158" s="1"/>
      <c r="AKE158" s="1"/>
      <c r="AKF158" s="14"/>
      <c r="AKQ158" s="1"/>
      <c r="AKR158" s="1"/>
      <c r="AKS158" s="1"/>
      <c r="AKT158" s="1"/>
      <c r="AKU158" s="1"/>
      <c r="AKV158" s="14"/>
      <c r="ALG158" s="1"/>
      <c r="ALH158" s="1"/>
      <c r="ALI158" s="1"/>
      <c r="ALJ158" s="1"/>
      <c r="ALK158" s="1"/>
      <c r="ALL158" s="14"/>
      <c r="ALW158" s="1"/>
      <c r="ALX158" s="1"/>
      <c r="ALY158" s="1"/>
      <c r="ALZ158" s="1"/>
      <c r="AMA158" s="1"/>
      <c r="AMB158" s="14"/>
      <c r="AMM158" s="1"/>
      <c r="AMN158" s="1"/>
      <c r="AMO158" s="1"/>
      <c r="AMP158" s="1"/>
      <c r="AMQ158" s="1"/>
      <c r="AMR158" s="14"/>
      <c r="ANC158" s="1"/>
      <c r="AND158" s="1"/>
      <c r="ANE158" s="1"/>
      <c r="ANF158" s="1"/>
      <c r="ANG158" s="1"/>
      <c r="ANH158" s="14"/>
      <c r="ANS158" s="1"/>
      <c r="ANT158" s="1"/>
      <c r="ANU158" s="1"/>
      <c r="ANV158" s="1"/>
      <c r="ANW158" s="1"/>
      <c r="ANX158" s="14"/>
      <c r="AOI158" s="1"/>
      <c r="AOJ158" s="1"/>
      <c r="AOK158" s="1"/>
      <c r="AOL158" s="1"/>
      <c r="AOM158" s="1"/>
      <c r="AON158" s="14"/>
      <c r="AOY158" s="1"/>
      <c r="AOZ158" s="1"/>
      <c r="APA158" s="1"/>
      <c r="APB158" s="1"/>
      <c r="APC158" s="1"/>
      <c r="APD158" s="14"/>
      <c r="APO158" s="1"/>
      <c r="APP158" s="1"/>
      <c r="APQ158" s="1"/>
      <c r="APR158" s="1"/>
      <c r="APS158" s="1"/>
      <c r="APT158" s="14"/>
      <c r="AQE158" s="1"/>
      <c r="AQF158" s="1"/>
      <c r="AQG158" s="1"/>
      <c r="AQH158" s="1"/>
      <c r="AQI158" s="1"/>
      <c r="AQJ158" s="14"/>
      <c r="AQU158" s="1"/>
      <c r="AQV158" s="1"/>
      <c r="AQW158" s="1"/>
      <c r="AQX158" s="1"/>
      <c r="AQY158" s="1"/>
      <c r="AQZ158" s="14"/>
      <c r="ARK158" s="1"/>
      <c r="ARL158" s="1"/>
      <c r="ARM158" s="1"/>
      <c r="ARN158" s="1"/>
      <c r="ARO158" s="1"/>
      <c r="ARP158" s="14"/>
      <c r="ASA158" s="1"/>
      <c r="ASB158" s="1"/>
      <c r="ASC158" s="1"/>
      <c r="ASD158" s="1"/>
      <c r="ASE158" s="1"/>
      <c r="ASF158" s="14"/>
      <c r="ASQ158" s="1"/>
      <c r="ASR158" s="1"/>
      <c r="ASS158" s="1"/>
      <c r="AST158" s="1"/>
      <c r="ASU158" s="1"/>
      <c r="ASV158" s="14"/>
      <c r="ATG158" s="1"/>
      <c r="ATH158" s="1"/>
      <c r="ATI158" s="1"/>
      <c r="ATJ158" s="1"/>
      <c r="ATK158" s="1"/>
      <c r="ATL158" s="14"/>
      <c r="ATW158" s="1"/>
      <c r="ATX158" s="1"/>
      <c r="ATY158" s="1"/>
      <c r="ATZ158" s="1"/>
      <c r="AUA158" s="1"/>
      <c r="AUB158" s="14"/>
      <c r="AUM158" s="1"/>
      <c r="AUN158" s="1"/>
      <c r="AUO158" s="1"/>
      <c r="AUP158" s="1"/>
      <c r="AUQ158" s="1"/>
      <c r="AUR158" s="14"/>
      <c r="AVC158" s="1"/>
      <c r="AVD158" s="1"/>
      <c r="AVE158" s="1"/>
      <c r="AVF158" s="1"/>
      <c r="AVG158" s="1"/>
      <c r="AVH158" s="14"/>
      <c r="AVS158" s="1"/>
      <c r="AVT158" s="1"/>
      <c r="AVU158" s="1"/>
      <c r="AVV158" s="1"/>
      <c r="AVW158" s="1"/>
      <c r="AVX158" s="14"/>
      <c r="AWI158" s="1"/>
      <c r="AWJ158" s="1"/>
      <c r="AWK158" s="1"/>
      <c r="AWL158" s="1"/>
      <c r="AWM158" s="1"/>
      <c r="AWN158" s="14"/>
      <c r="AWY158" s="1"/>
      <c r="AWZ158" s="1"/>
      <c r="AXA158" s="1"/>
      <c r="AXB158" s="1"/>
      <c r="AXC158" s="1"/>
      <c r="AXD158" s="14"/>
      <c r="AXO158" s="1"/>
      <c r="AXP158" s="1"/>
      <c r="AXQ158" s="1"/>
      <c r="AXR158" s="1"/>
      <c r="AXS158" s="1"/>
      <c r="AXT158" s="14"/>
      <c r="AYE158" s="1"/>
      <c r="AYF158" s="1"/>
      <c r="AYG158" s="1"/>
      <c r="AYH158" s="1"/>
      <c r="AYI158" s="1"/>
      <c r="AYJ158" s="14"/>
      <c r="AYU158" s="1"/>
      <c r="AYV158" s="1"/>
      <c r="AYW158" s="1"/>
      <c r="AYX158" s="1"/>
      <c r="AYY158" s="1"/>
      <c r="AYZ158" s="14"/>
      <c r="AZK158" s="1"/>
      <c r="AZL158" s="1"/>
      <c r="AZM158" s="1"/>
      <c r="AZN158" s="1"/>
      <c r="AZO158" s="1"/>
      <c r="AZP158" s="14"/>
      <c r="BAA158" s="1"/>
      <c r="BAB158" s="1"/>
      <c r="BAC158" s="1"/>
      <c r="BAD158" s="1"/>
      <c r="BAE158" s="1"/>
      <c r="BAF158" s="14"/>
      <c r="BAQ158" s="1"/>
      <c r="BAR158" s="1"/>
      <c r="BAS158" s="1"/>
      <c r="BAT158" s="1"/>
      <c r="BAU158" s="1"/>
      <c r="BAV158" s="14"/>
      <c r="BBG158" s="1"/>
      <c r="BBH158" s="1"/>
      <c r="BBI158" s="1"/>
      <c r="BBJ158" s="1"/>
      <c r="BBK158" s="1"/>
      <c r="BBL158" s="14"/>
      <c r="BBW158" s="1"/>
      <c r="BBX158" s="1"/>
      <c r="BBY158" s="1"/>
      <c r="BBZ158" s="1"/>
      <c r="BCA158" s="1"/>
      <c r="BCB158" s="14"/>
      <c r="BCM158" s="1"/>
      <c r="BCN158" s="1"/>
      <c r="BCO158" s="1"/>
      <c r="BCP158" s="1"/>
      <c r="BCQ158" s="1"/>
      <c r="BCR158" s="14"/>
      <c r="BDC158" s="1"/>
      <c r="BDD158" s="1"/>
      <c r="BDE158" s="1"/>
      <c r="BDF158" s="1"/>
      <c r="BDG158" s="1"/>
      <c r="BDH158" s="14"/>
      <c r="BDS158" s="1"/>
      <c r="BDT158" s="1"/>
      <c r="BDU158" s="1"/>
      <c r="BDV158" s="1"/>
      <c r="BDW158" s="1"/>
      <c r="BDX158" s="14"/>
      <c r="BEI158" s="1"/>
      <c r="BEJ158" s="1"/>
      <c r="BEK158" s="1"/>
      <c r="BEL158" s="1"/>
      <c r="BEM158" s="1"/>
      <c r="BEN158" s="14"/>
      <c r="BEY158" s="1"/>
      <c r="BEZ158" s="1"/>
      <c r="BFA158" s="1"/>
      <c r="BFB158" s="1"/>
      <c r="BFC158" s="1"/>
      <c r="BFD158" s="14"/>
      <c r="BFO158" s="1"/>
      <c r="BFP158" s="1"/>
      <c r="BFQ158" s="1"/>
      <c r="BFR158" s="1"/>
      <c r="BFS158" s="1"/>
      <c r="BFT158" s="14"/>
      <c r="BGE158" s="1"/>
      <c r="BGF158" s="1"/>
      <c r="BGG158" s="1"/>
      <c r="BGH158" s="1"/>
      <c r="BGI158" s="1"/>
      <c r="BGJ158" s="14"/>
      <c r="BGU158" s="1"/>
      <c r="BGV158" s="1"/>
      <c r="BGW158" s="1"/>
      <c r="BGX158" s="1"/>
      <c r="BGY158" s="1"/>
      <c r="BGZ158" s="14"/>
      <c r="BHK158" s="1"/>
      <c r="BHL158" s="1"/>
      <c r="BHM158" s="1"/>
      <c r="BHN158" s="1"/>
      <c r="BHO158" s="1"/>
      <c r="BHP158" s="14"/>
      <c r="BIA158" s="1"/>
      <c r="BIB158" s="1"/>
      <c r="BIC158" s="1"/>
      <c r="BID158" s="1"/>
      <c r="BIE158" s="1"/>
      <c r="BIF158" s="14"/>
      <c r="BIQ158" s="1"/>
      <c r="BIR158" s="1"/>
      <c r="BIS158" s="1"/>
      <c r="BIT158" s="1"/>
      <c r="BIU158" s="1"/>
      <c r="BIV158" s="14"/>
      <c r="BJG158" s="1"/>
      <c r="BJH158" s="1"/>
      <c r="BJI158" s="1"/>
      <c r="BJJ158" s="1"/>
      <c r="BJK158" s="1"/>
      <c r="BJL158" s="14"/>
      <c r="BJW158" s="1"/>
      <c r="BJX158" s="1"/>
      <c r="BJY158" s="1"/>
      <c r="BJZ158" s="1"/>
      <c r="BKA158" s="1"/>
      <c r="BKB158" s="14"/>
      <c r="BKM158" s="1"/>
      <c r="BKN158" s="1"/>
      <c r="BKO158" s="1"/>
      <c r="BKP158" s="1"/>
      <c r="BKQ158" s="1"/>
      <c r="BKR158" s="14"/>
      <c r="BLC158" s="1"/>
      <c r="BLD158" s="1"/>
      <c r="BLE158" s="1"/>
      <c r="BLF158" s="1"/>
      <c r="BLG158" s="1"/>
      <c r="BLH158" s="14"/>
      <c r="BLS158" s="1"/>
      <c r="BLT158" s="1"/>
      <c r="BLU158" s="1"/>
      <c r="BLV158" s="1"/>
      <c r="BLW158" s="1"/>
      <c r="BLX158" s="14"/>
      <c r="BMI158" s="1"/>
      <c r="BMJ158" s="1"/>
      <c r="BMK158" s="1"/>
      <c r="BML158" s="1"/>
      <c r="BMM158" s="1"/>
      <c r="BMN158" s="14"/>
      <c r="BMY158" s="1"/>
      <c r="BMZ158" s="1"/>
      <c r="BNA158" s="1"/>
      <c r="BNB158" s="1"/>
      <c r="BNC158" s="1"/>
      <c r="BND158" s="14"/>
      <c r="BNO158" s="1"/>
      <c r="BNP158" s="1"/>
      <c r="BNQ158" s="1"/>
      <c r="BNR158" s="1"/>
      <c r="BNS158" s="1"/>
      <c r="BNT158" s="14"/>
      <c r="BOE158" s="1"/>
      <c r="BOF158" s="1"/>
      <c r="BOG158" s="1"/>
      <c r="BOH158" s="1"/>
      <c r="BOI158" s="1"/>
      <c r="BOJ158" s="14"/>
      <c r="BOU158" s="1"/>
      <c r="BOV158" s="1"/>
      <c r="BOW158" s="1"/>
      <c r="BOX158" s="1"/>
      <c r="BOY158" s="1"/>
      <c r="BOZ158" s="14"/>
      <c r="BPK158" s="1"/>
      <c r="BPL158" s="1"/>
      <c r="BPM158" s="1"/>
      <c r="BPN158" s="1"/>
      <c r="BPO158" s="1"/>
      <c r="BPP158" s="14"/>
      <c r="BQA158" s="1"/>
      <c r="BQB158" s="1"/>
      <c r="BQC158" s="1"/>
      <c r="BQD158" s="1"/>
      <c r="BQE158" s="1"/>
      <c r="BQF158" s="14"/>
      <c r="BQQ158" s="1"/>
      <c r="BQR158" s="1"/>
      <c r="BQS158" s="1"/>
      <c r="BQT158" s="1"/>
      <c r="BQU158" s="1"/>
      <c r="BQV158" s="14"/>
      <c r="BRG158" s="1"/>
      <c r="BRH158" s="1"/>
      <c r="BRI158" s="1"/>
      <c r="BRJ158" s="1"/>
      <c r="BRK158" s="1"/>
      <c r="BRL158" s="14"/>
      <c r="BRW158" s="1"/>
      <c r="BRX158" s="1"/>
      <c r="BRY158" s="1"/>
      <c r="BRZ158" s="1"/>
      <c r="BSA158" s="1"/>
      <c r="BSB158" s="14"/>
      <c r="BSM158" s="1"/>
      <c r="BSN158" s="1"/>
      <c r="BSO158" s="1"/>
      <c r="BSP158" s="1"/>
      <c r="BSQ158" s="1"/>
      <c r="BSR158" s="14"/>
      <c r="BTC158" s="1"/>
      <c r="BTD158" s="1"/>
      <c r="BTE158" s="1"/>
      <c r="BTF158" s="1"/>
      <c r="BTG158" s="1"/>
      <c r="BTH158" s="14"/>
      <c r="BTS158" s="1"/>
      <c r="BTT158" s="1"/>
      <c r="BTU158" s="1"/>
      <c r="BTV158" s="1"/>
      <c r="BTW158" s="1"/>
      <c r="BTX158" s="14"/>
      <c r="BUI158" s="1"/>
      <c r="BUJ158" s="1"/>
      <c r="BUK158" s="1"/>
      <c r="BUL158" s="1"/>
      <c r="BUM158" s="1"/>
      <c r="BUN158" s="14"/>
      <c r="BUY158" s="1"/>
      <c r="BUZ158" s="1"/>
      <c r="BVA158" s="1"/>
      <c r="BVB158" s="1"/>
      <c r="BVC158" s="1"/>
      <c r="BVD158" s="14"/>
      <c r="BVO158" s="1"/>
      <c r="BVP158" s="1"/>
      <c r="BVQ158" s="1"/>
      <c r="BVR158" s="1"/>
      <c r="BVS158" s="1"/>
      <c r="BVT158" s="14"/>
      <c r="BWE158" s="1"/>
      <c r="BWF158" s="1"/>
      <c r="BWG158" s="1"/>
      <c r="BWH158" s="1"/>
      <c r="BWI158" s="1"/>
      <c r="BWJ158" s="14"/>
      <c r="BWU158" s="1"/>
      <c r="BWV158" s="1"/>
      <c r="BWW158" s="1"/>
      <c r="BWX158" s="1"/>
      <c r="BWY158" s="1"/>
      <c r="BWZ158" s="14"/>
      <c r="BXK158" s="1"/>
      <c r="BXL158" s="1"/>
      <c r="BXM158" s="1"/>
      <c r="BXN158" s="1"/>
      <c r="BXO158" s="1"/>
      <c r="BXP158" s="14"/>
      <c r="BYA158" s="1"/>
      <c r="BYB158" s="1"/>
      <c r="BYC158" s="1"/>
      <c r="BYD158" s="1"/>
      <c r="BYE158" s="1"/>
      <c r="BYF158" s="14"/>
      <c r="BYQ158" s="1"/>
      <c r="BYR158" s="1"/>
      <c r="BYS158" s="1"/>
      <c r="BYT158" s="1"/>
      <c r="BYU158" s="1"/>
      <c r="BYV158" s="14"/>
      <c r="BZG158" s="1"/>
      <c r="BZH158" s="1"/>
      <c r="BZI158" s="1"/>
      <c r="BZJ158" s="1"/>
      <c r="BZK158" s="1"/>
      <c r="BZL158" s="14"/>
      <c r="BZW158" s="1"/>
      <c r="BZX158" s="1"/>
      <c r="BZY158" s="1"/>
      <c r="BZZ158" s="1"/>
      <c r="CAA158" s="1"/>
      <c r="CAB158" s="14"/>
      <c r="CAM158" s="1"/>
      <c r="CAN158" s="1"/>
      <c r="CAO158" s="1"/>
      <c r="CAP158" s="1"/>
      <c r="CAQ158" s="1"/>
      <c r="CAR158" s="14"/>
      <c r="CBC158" s="1"/>
      <c r="CBD158" s="1"/>
      <c r="CBE158" s="1"/>
      <c r="CBF158" s="1"/>
      <c r="CBG158" s="1"/>
      <c r="CBH158" s="14"/>
      <c r="CBS158" s="1"/>
      <c r="CBT158" s="1"/>
      <c r="CBU158" s="1"/>
      <c r="CBV158" s="1"/>
      <c r="CBW158" s="1"/>
      <c r="CBX158" s="14"/>
      <c r="CCI158" s="1"/>
      <c r="CCJ158" s="1"/>
      <c r="CCK158" s="1"/>
      <c r="CCL158" s="1"/>
      <c r="CCM158" s="1"/>
      <c r="CCN158" s="14"/>
      <c r="CCY158" s="1"/>
      <c r="CCZ158" s="1"/>
      <c r="CDA158" s="1"/>
      <c r="CDB158" s="1"/>
      <c r="CDC158" s="1"/>
      <c r="CDD158" s="14"/>
      <c r="CDO158" s="1"/>
      <c r="CDP158" s="1"/>
      <c r="CDQ158" s="1"/>
      <c r="CDR158" s="1"/>
      <c r="CDS158" s="1"/>
      <c r="CDT158" s="14"/>
      <c r="CEE158" s="1"/>
      <c r="CEF158" s="1"/>
      <c r="CEG158" s="1"/>
      <c r="CEH158" s="1"/>
      <c r="CEI158" s="1"/>
      <c r="CEJ158" s="14"/>
      <c r="CEU158" s="1"/>
      <c r="CEV158" s="1"/>
      <c r="CEW158" s="1"/>
      <c r="CEX158" s="1"/>
      <c r="CEY158" s="1"/>
      <c r="CEZ158" s="14"/>
      <c r="CFK158" s="1"/>
      <c r="CFL158" s="1"/>
      <c r="CFM158" s="1"/>
      <c r="CFN158" s="1"/>
      <c r="CFO158" s="1"/>
      <c r="CFP158" s="14"/>
      <c r="CGA158" s="1"/>
      <c r="CGB158" s="1"/>
      <c r="CGC158" s="1"/>
      <c r="CGD158" s="1"/>
      <c r="CGE158" s="1"/>
      <c r="CGF158" s="14"/>
      <c r="CGQ158" s="1"/>
      <c r="CGR158" s="1"/>
      <c r="CGS158" s="1"/>
      <c r="CGT158" s="1"/>
      <c r="CGU158" s="1"/>
      <c r="CGV158" s="14"/>
      <c r="CHG158" s="1"/>
      <c r="CHH158" s="1"/>
      <c r="CHI158" s="1"/>
      <c r="CHJ158" s="1"/>
      <c r="CHK158" s="1"/>
      <c r="CHL158" s="14"/>
      <c r="CHW158" s="1"/>
      <c r="CHX158" s="1"/>
      <c r="CHY158" s="1"/>
      <c r="CHZ158" s="1"/>
      <c r="CIA158" s="1"/>
      <c r="CIB158" s="14"/>
      <c r="CIM158" s="1"/>
      <c r="CIN158" s="1"/>
      <c r="CIO158" s="1"/>
      <c r="CIP158" s="1"/>
      <c r="CIQ158" s="1"/>
      <c r="CIR158" s="14"/>
      <c r="CJC158" s="1"/>
      <c r="CJD158" s="1"/>
      <c r="CJE158" s="1"/>
      <c r="CJF158" s="1"/>
      <c r="CJG158" s="1"/>
      <c r="CJH158" s="14"/>
      <c r="CJS158" s="1"/>
      <c r="CJT158" s="1"/>
      <c r="CJU158" s="1"/>
      <c r="CJV158" s="1"/>
      <c r="CJW158" s="1"/>
      <c r="CJX158" s="14"/>
      <c r="CKI158" s="1"/>
      <c r="CKJ158" s="1"/>
      <c r="CKK158" s="1"/>
      <c r="CKL158" s="1"/>
      <c r="CKM158" s="1"/>
      <c r="CKN158" s="14"/>
      <c r="CKY158" s="1"/>
      <c r="CKZ158" s="1"/>
      <c r="CLA158" s="1"/>
      <c r="CLB158" s="1"/>
      <c r="CLC158" s="1"/>
      <c r="CLD158" s="14"/>
      <c r="CLO158" s="1"/>
      <c r="CLP158" s="1"/>
      <c r="CLQ158" s="1"/>
      <c r="CLR158" s="1"/>
      <c r="CLS158" s="1"/>
      <c r="CLT158" s="14"/>
      <c r="CME158" s="1"/>
      <c r="CMF158" s="1"/>
      <c r="CMG158" s="1"/>
      <c r="CMH158" s="1"/>
      <c r="CMI158" s="1"/>
      <c r="CMJ158" s="14"/>
      <c r="CMU158" s="1"/>
      <c r="CMV158" s="1"/>
      <c r="CMW158" s="1"/>
      <c r="CMX158" s="1"/>
      <c r="CMY158" s="1"/>
      <c r="CMZ158" s="14"/>
      <c r="CNK158" s="1"/>
      <c r="CNL158" s="1"/>
      <c r="CNM158" s="1"/>
      <c r="CNN158" s="1"/>
      <c r="CNO158" s="1"/>
      <c r="CNP158" s="14"/>
      <c r="COA158" s="1"/>
      <c r="COB158" s="1"/>
      <c r="COC158" s="1"/>
      <c r="COD158" s="1"/>
      <c r="COE158" s="1"/>
      <c r="COF158" s="14"/>
      <c r="COQ158" s="1"/>
      <c r="COR158" s="1"/>
      <c r="COS158" s="1"/>
      <c r="COT158" s="1"/>
      <c r="COU158" s="1"/>
      <c r="COV158" s="14"/>
      <c r="CPG158" s="1"/>
      <c r="CPH158" s="1"/>
      <c r="CPI158" s="1"/>
      <c r="CPJ158" s="1"/>
      <c r="CPK158" s="1"/>
      <c r="CPL158" s="14"/>
      <c r="CPW158" s="1"/>
      <c r="CPX158" s="1"/>
      <c r="CPY158" s="1"/>
      <c r="CPZ158" s="1"/>
      <c r="CQA158" s="1"/>
      <c r="CQB158" s="14"/>
      <c r="CQM158" s="1"/>
      <c r="CQN158" s="1"/>
      <c r="CQO158" s="1"/>
      <c r="CQP158" s="1"/>
      <c r="CQQ158" s="1"/>
      <c r="CQR158" s="14"/>
      <c r="CRC158" s="1"/>
      <c r="CRD158" s="1"/>
      <c r="CRE158" s="1"/>
      <c r="CRF158" s="1"/>
      <c r="CRG158" s="1"/>
      <c r="CRH158" s="14"/>
      <c r="CRS158" s="1"/>
      <c r="CRT158" s="1"/>
      <c r="CRU158" s="1"/>
      <c r="CRV158" s="1"/>
      <c r="CRW158" s="1"/>
      <c r="CRX158" s="14"/>
      <c r="CSI158" s="1"/>
      <c r="CSJ158" s="1"/>
      <c r="CSK158" s="1"/>
      <c r="CSL158" s="1"/>
      <c r="CSM158" s="1"/>
      <c r="CSN158" s="14"/>
      <c r="CSY158" s="1"/>
      <c r="CSZ158" s="1"/>
      <c r="CTA158" s="1"/>
      <c r="CTB158" s="1"/>
      <c r="CTC158" s="1"/>
      <c r="CTD158" s="14"/>
      <c r="CTO158" s="1"/>
      <c r="CTP158" s="1"/>
      <c r="CTQ158" s="1"/>
      <c r="CTR158" s="1"/>
      <c r="CTS158" s="1"/>
      <c r="CTT158" s="14"/>
      <c r="CUE158" s="1"/>
      <c r="CUF158" s="1"/>
      <c r="CUG158" s="1"/>
      <c r="CUH158" s="1"/>
      <c r="CUI158" s="1"/>
      <c r="CUJ158" s="14"/>
      <c r="CUU158" s="1"/>
      <c r="CUV158" s="1"/>
      <c r="CUW158" s="1"/>
      <c r="CUX158" s="1"/>
      <c r="CUY158" s="1"/>
      <c r="CUZ158" s="14"/>
      <c r="CVK158" s="1"/>
      <c r="CVL158" s="1"/>
      <c r="CVM158" s="1"/>
      <c r="CVN158" s="1"/>
      <c r="CVO158" s="1"/>
      <c r="CVP158" s="14"/>
      <c r="CWA158" s="1"/>
      <c r="CWB158" s="1"/>
      <c r="CWC158" s="1"/>
      <c r="CWD158" s="1"/>
      <c r="CWE158" s="1"/>
      <c r="CWF158" s="14"/>
      <c r="CWQ158" s="1"/>
      <c r="CWR158" s="1"/>
      <c r="CWS158" s="1"/>
      <c r="CWT158" s="1"/>
      <c r="CWU158" s="1"/>
      <c r="CWV158" s="14"/>
      <c r="CXG158" s="1"/>
      <c r="CXH158" s="1"/>
      <c r="CXI158" s="1"/>
      <c r="CXJ158" s="1"/>
      <c r="CXK158" s="1"/>
      <c r="CXL158" s="14"/>
      <c r="CXW158" s="1"/>
      <c r="CXX158" s="1"/>
      <c r="CXY158" s="1"/>
      <c r="CXZ158" s="1"/>
      <c r="CYA158" s="1"/>
      <c r="CYB158" s="14"/>
      <c r="CYM158" s="1"/>
      <c r="CYN158" s="1"/>
      <c r="CYO158" s="1"/>
      <c r="CYP158" s="1"/>
      <c r="CYQ158" s="1"/>
      <c r="CYR158" s="14"/>
      <c r="CZC158" s="1"/>
      <c r="CZD158" s="1"/>
      <c r="CZE158" s="1"/>
      <c r="CZF158" s="1"/>
      <c r="CZG158" s="1"/>
      <c r="CZH158" s="14"/>
      <c r="CZS158" s="1"/>
      <c r="CZT158" s="1"/>
      <c r="CZU158" s="1"/>
      <c r="CZV158" s="1"/>
      <c r="CZW158" s="1"/>
      <c r="CZX158" s="14"/>
      <c r="DAI158" s="1"/>
      <c r="DAJ158" s="1"/>
      <c r="DAK158" s="1"/>
      <c r="DAL158" s="1"/>
      <c r="DAM158" s="1"/>
      <c r="DAN158" s="14"/>
      <c r="DAY158" s="1"/>
      <c r="DAZ158" s="1"/>
      <c r="DBA158" s="1"/>
      <c r="DBB158" s="1"/>
      <c r="DBC158" s="1"/>
      <c r="DBD158" s="14"/>
      <c r="DBO158" s="1"/>
      <c r="DBP158" s="1"/>
      <c r="DBQ158" s="1"/>
      <c r="DBR158" s="1"/>
      <c r="DBS158" s="1"/>
      <c r="DBT158" s="14"/>
      <c r="DCE158" s="1"/>
      <c r="DCF158" s="1"/>
      <c r="DCG158" s="1"/>
      <c r="DCH158" s="1"/>
      <c r="DCI158" s="1"/>
      <c r="DCJ158" s="14"/>
      <c r="DCU158" s="1"/>
      <c r="DCV158" s="1"/>
      <c r="DCW158" s="1"/>
      <c r="DCX158" s="1"/>
      <c r="DCY158" s="1"/>
      <c r="DCZ158" s="14"/>
      <c r="DDK158" s="1"/>
      <c r="DDL158" s="1"/>
      <c r="DDM158" s="1"/>
      <c r="DDN158" s="1"/>
      <c r="DDO158" s="1"/>
      <c r="DDP158" s="14"/>
      <c r="DEA158" s="1"/>
      <c r="DEB158" s="1"/>
      <c r="DEC158" s="1"/>
      <c r="DED158" s="1"/>
      <c r="DEE158" s="1"/>
      <c r="DEF158" s="14"/>
      <c r="DEQ158" s="1"/>
      <c r="DER158" s="1"/>
      <c r="DES158" s="1"/>
      <c r="DET158" s="1"/>
      <c r="DEU158" s="1"/>
      <c r="DEV158" s="14"/>
      <c r="DFG158" s="1"/>
      <c r="DFH158" s="1"/>
      <c r="DFI158" s="1"/>
      <c r="DFJ158" s="1"/>
      <c r="DFK158" s="1"/>
      <c r="DFL158" s="14"/>
      <c r="DFW158" s="1"/>
      <c r="DFX158" s="1"/>
      <c r="DFY158" s="1"/>
      <c r="DFZ158" s="1"/>
      <c r="DGA158" s="1"/>
      <c r="DGB158" s="14"/>
      <c r="DGM158" s="1"/>
      <c r="DGN158" s="1"/>
      <c r="DGO158" s="1"/>
      <c r="DGP158" s="1"/>
      <c r="DGQ158" s="1"/>
      <c r="DGR158" s="14"/>
      <c r="DHC158" s="1"/>
      <c r="DHD158" s="1"/>
      <c r="DHE158" s="1"/>
      <c r="DHF158" s="1"/>
      <c r="DHG158" s="1"/>
      <c r="DHH158" s="14"/>
      <c r="DHS158" s="1"/>
      <c r="DHT158" s="1"/>
      <c r="DHU158" s="1"/>
      <c r="DHV158" s="1"/>
      <c r="DHW158" s="1"/>
      <c r="DHX158" s="14"/>
      <c r="DII158" s="1"/>
      <c r="DIJ158" s="1"/>
      <c r="DIK158" s="1"/>
      <c r="DIL158" s="1"/>
      <c r="DIM158" s="1"/>
      <c r="DIN158" s="14"/>
      <c r="DIY158" s="1"/>
      <c r="DIZ158" s="1"/>
      <c r="DJA158" s="1"/>
      <c r="DJB158" s="1"/>
      <c r="DJC158" s="1"/>
      <c r="DJD158" s="14"/>
      <c r="DJO158" s="1"/>
      <c r="DJP158" s="1"/>
      <c r="DJQ158" s="1"/>
      <c r="DJR158" s="1"/>
      <c r="DJS158" s="1"/>
      <c r="DJT158" s="14"/>
      <c r="DKE158" s="1"/>
      <c r="DKF158" s="1"/>
      <c r="DKG158" s="1"/>
      <c r="DKH158" s="1"/>
      <c r="DKI158" s="1"/>
      <c r="DKJ158" s="14"/>
      <c r="DKU158" s="1"/>
      <c r="DKV158" s="1"/>
      <c r="DKW158" s="1"/>
      <c r="DKX158" s="1"/>
      <c r="DKY158" s="1"/>
      <c r="DKZ158" s="14"/>
      <c r="DLK158" s="1"/>
      <c r="DLL158" s="1"/>
      <c r="DLM158" s="1"/>
      <c r="DLN158" s="1"/>
      <c r="DLO158" s="1"/>
      <c r="DLP158" s="14"/>
      <c r="DMA158" s="1"/>
      <c r="DMB158" s="1"/>
      <c r="DMC158" s="1"/>
      <c r="DMD158" s="1"/>
      <c r="DME158" s="1"/>
      <c r="DMF158" s="14"/>
      <c r="DMQ158" s="1"/>
      <c r="DMR158" s="1"/>
      <c r="DMS158" s="1"/>
      <c r="DMT158" s="1"/>
      <c r="DMU158" s="1"/>
      <c r="DMV158" s="14"/>
      <c r="DNG158" s="1"/>
      <c r="DNH158" s="1"/>
      <c r="DNI158" s="1"/>
      <c r="DNJ158" s="1"/>
      <c r="DNK158" s="1"/>
      <c r="DNL158" s="14"/>
      <c r="DNW158" s="1"/>
      <c r="DNX158" s="1"/>
      <c r="DNY158" s="1"/>
      <c r="DNZ158" s="1"/>
      <c r="DOA158" s="1"/>
      <c r="DOB158" s="14"/>
      <c r="DOM158" s="1"/>
      <c r="DON158" s="1"/>
      <c r="DOO158" s="1"/>
      <c r="DOP158" s="1"/>
      <c r="DOQ158" s="1"/>
      <c r="DOR158" s="14"/>
      <c r="DPC158" s="1"/>
      <c r="DPD158" s="1"/>
      <c r="DPE158" s="1"/>
      <c r="DPF158" s="1"/>
      <c r="DPG158" s="1"/>
      <c r="DPH158" s="14"/>
      <c r="DPS158" s="1"/>
      <c r="DPT158" s="1"/>
      <c r="DPU158" s="1"/>
      <c r="DPV158" s="1"/>
      <c r="DPW158" s="1"/>
      <c r="DPX158" s="14"/>
      <c r="DQI158" s="1"/>
      <c r="DQJ158" s="1"/>
      <c r="DQK158" s="1"/>
      <c r="DQL158" s="1"/>
      <c r="DQM158" s="1"/>
      <c r="DQN158" s="14"/>
      <c r="DQY158" s="1"/>
      <c r="DQZ158" s="1"/>
      <c r="DRA158" s="1"/>
      <c r="DRB158" s="1"/>
      <c r="DRC158" s="1"/>
      <c r="DRD158" s="14"/>
      <c r="DRO158" s="1"/>
      <c r="DRP158" s="1"/>
      <c r="DRQ158" s="1"/>
      <c r="DRR158" s="1"/>
      <c r="DRS158" s="1"/>
      <c r="DRT158" s="14"/>
      <c r="DSE158" s="1"/>
      <c r="DSF158" s="1"/>
      <c r="DSG158" s="1"/>
      <c r="DSH158" s="1"/>
      <c r="DSI158" s="1"/>
      <c r="DSJ158" s="14"/>
      <c r="DSU158" s="1"/>
      <c r="DSV158" s="1"/>
      <c r="DSW158" s="1"/>
      <c r="DSX158" s="1"/>
      <c r="DSY158" s="1"/>
      <c r="DSZ158" s="14"/>
      <c r="DTK158" s="1"/>
      <c r="DTL158" s="1"/>
      <c r="DTM158" s="1"/>
      <c r="DTN158" s="1"/>
      <c r="DTO158" s="1"/>
      <c r="DTP158" s="14"/>
      <c r="DUA158" s="1"/>
      <c r="DUB158" s="1"/>
      <c r="DUC158" s="1"/>
      <c r="DUD158" s="1"/>
      <c r="DUE158" s="1"/>
      <c r="DUF158" s="14"/>
      <c r="DUQ158" s="1"/>
      <c r="DUR158" s="1"/>
      <c r="DUS158" s="1"/>
      <c r="DUT158" s="1"/>
      <c r="DUU158" s="1"/>
      <c r="DUV158" s="14"/>
      <c r="DVG158" s="1"/>
      <c r="DVH158" s="1"/>
      <c r="DVI158" s="1"/>
      <c r="DVJ158" s="1"/>
      <c r="DVK158" s="1"/>
      <c r="DVL158" s="14"/>
      <c r="DVW158" s="1"/>
      <c r="DVX158" s="1"/>
      <c r="DVY158" s="1"/>
      <c r="DVZ158" s="1"/>
      <c r="DWA158" s="1"/>
      <c r="DWB158" s="14"/>
      <c r="DWM158" s="1"/>
      <c r="DWN158" s="1"/>
      <c r="DWO158" s="1"/>
      <c r="DWP158" s="1"/>
      <c r="DWQ158" s="1"/>
      <c r="DWR158" s="14"/>
      <c r="DXC158" s="1"/>
      <c r="DXD158" s="1"/>
      <c r="DXE158" s="1"/>
      <c r="DXF158" s="1"/>
      <c r="DXG158" s="1"/>
      <c r="DXH158" s="14"/>
      <c r="DXS158" s="1"/>
      <c r="DXT158" s="1"/>
      <c r="DXU158" s="1"/>
      <c r="DXV158" s="1"/>
      <c r="DXW158" s="1"/>
      <c r="DXX158" s="14"/>
      <c r="DYI158" s="1"/>
      <c r="DYJ158" s="1"/>
      <c r="DYK158" s="1"/>
      <c r="DYL158" s="1"/>
      <c r="DYM158" s="1"/>
      <c r="DYN158" s="14"/>
      <c r="DYY158" s="1"/>
      <c r="DYZ158" s="1"/>
      <c r="DZA158" s="1"/>
      <c r="DZB158" s="1"/>
      <c r="DZC158" s="1"/>
      <c r="DZD158" s="14"/>
      <c r="DZO158" s="1"/>
      <c r="DZP158" s="1"/>
      <c r="DZQ158" s="1"/>
      <c r="DZR158" s="1"/>
      <c r="DZS158" s="1"/>
      <c r="DZT158" s="14"/>
      <c r="EAE158" s="1"/>
      <c r="EAF158" s="1"/>
      <c r="EAG158" s="1"/>
      <c r="EAH158" s="1"/>
      <c r="EAI158" s="1"/>
      <c r="EAJ158" s="14"/>
      <c r="EAU158" s="1"/>
      <c r="EAV158" s="1"/>
      <c r="EAW158" s="1"/>
      <c r="EAX158" s="1"/>
      <c r="EAY158" s="1"/>
      <c r="EAZ158" s="14"/>
      <c r="EBK158" s="1"/>
      <c r="EBL158" s="1"/>
      <c r="EBM158" s="1"/>
      <c r="EBN158" s="1"/>
      <c r="EBO158" s="1"/>
      <c r="EBP158" s="14"/>
      <c r="ECA158" s="1"/>
      <c r="ECB158" s="1"/>
      <c r="ECC158" s="1"/>
      <c r="ECD158" s="1"/>
      <c r="ECE158" s="1"/>
      <c r="ECF158" s="14"/>
      <c r="ECQ158" s="1"/>
      <c r="ECR158" s="1"/>
      <c r="ECS158" s="1"/>
      <c r="ECT158" s="1"/>
      <c r="ECU158" s="1"/>
      <c r="ECV158" s="14"/>
      <c r="EDG158" s="1"/>
      <c r="EDH158" s="1"/>
      <c r="EDI158" s="1"/>
      <c r="EDJ158" s="1"/>
      <c r="EDK158" s="1"/>
      <c r="EDL158" s="14"/>
      <c r="EDW158" s="1"/>
      <c r="EDX158" s="1"/>
      <c r="EDY158" s="1"/>
      <c r="EDZ158" s="1"/>
      <c r="EEA158" s="1"/>
      <c r="EEB158" s="14"/>
      <c r="EEM158" s="1"/>
      <c r="EEN158" s="1"/>
      <c r="EEO158" s="1"/>
      <c r="EEP158" s="1"/>
      <c r="EEQ158" s="1"/>
      <c r="EER158" s="14"/>
      <c r="EFC158" s="1"/>
      <c r="EFD158" s="1"/>
      <c r="EFE158" s="1"/>
      <c r="EFF158" s="1"/>
      <c r="EFG158" s="1"/>
      <c r="EFH158" s="14"/>
      <c r="EFS158" s="1"/>
      <c r="EFT158" s="1"/>
      <c r="EFU158" s="1"/>
      <c r="EFV158" s="1"/>
      <c r="EFW158" s="1"/>
      <c r="EFX158" s="14"/>
      <c r="EGI158" s="1"/>
      <c r="EGJ158" s="1"/>
      <c r="EGK158" s="1"/>
      <c r="EGL158" s="1"/>
      <c r="EGM158" s="1"/>
      <c r="EGN158" s="14"/>
      <c r="EGY158" s="1"/>
      <c r="EGZ158" s="1"/>
      <c r="EHA158" s="1"/>
      <c r="EHB158" s="1"/>
      <c r="EHC158" s="1"/>
      <c r="EHD158" s="14"/>
      <c r="EHO158" s="1"/>
      <c r="EHP158" s="1"/>
      <c r="EHQ158" s="1"/>
      <c r="EHR158" s="1"/>
      <c r="EHS158" s="1"/>
      <c r="EHT158" s="14"/>
      <c r="EIE158" s="1"/>
      <c r="EIF158" s="1"/>
      <c r="EIG158" s="1"/>
      <c r="EIH158" s="1"/>
      <c r="EII158" s="1"/>
      <c r="EIJ158" s="14"/>
      <c r="EIU158" s="1"/>
      <c r="EIV158" s="1"/>
      <c r="EIW158" s="1"/>
      <c r="EIX158" s="1"/>
      <c r="EIY158" s="1"/>
      <c r="EIZ158" s="14"/>
      <c r="EJK158" s="1"/>
      <c r="EJL158" s="1"/>
      <c r="EJM158" s="1"/>
      <c r="EJN158" s="1"/>
      <c r="EJO158" s="1"/>
      <c r="EJP158" s="14"/>
      <c r="EKA158" s="1"/>
      <c r="EKB158" s="1"/>
      <c r="EKC158" s="1"/>
      <c r="EKD158" s="1"/>
      <c r="EKE158" s="1"/>
      <c r="EKF158" s="14"/>
      <c r="EKQ158" s="1"/>
      <c r="EKR158" s="1"/>
      <c r="EKS158" s="1"/>
      <c r="EKT158" s="1"/>
      <c r="EKU158" s="1"/>
      <c r="EKV158" s="14"/>
      <c r="ELG158" s="1"/>
      <c r="ELH158" s="1"/>
      <c r="ELI158" s="1"/>
      <c r="ELJ158" s="1"/>
      <c r="ELK158" s="1"/>
      <c r="ELL158" s="14"/>
      <c r="ELW158" s="1"/>
      <c r="ELX158" s="1"/>
      <c r="ELY158" s="1"/>
      <c r="ELZ158" s="1"/>
      <c r="EMA158" s="1"/>
      <c r="EMB158" s="14"/>
      <c r="EMM158" s="1"/>
      <c r="EMN158" s="1"/>
      <c r="EMO158" s="1"/>
      <c r="EMP158" s="1"/>
      <c r="EMQ158" s="1"/>
      <c r="EMR158" s="14"/>
      <c r="ENC158" s="1"/>
      <c r="END158" s="1"/>
      <c r="ENE158" s="1"/>
      <c r="ENF158" s="1"/>
      <c r="ENG158" s="1"/>
      <c r="ENH158" s="14"/>
      <c r="ENS158" s="1"/>
      <c r="ENT158" s="1"/>
      <c r="ENU158" s="1"/>
      <c r="ENV158" s="1"/>
      <c r="ENW158" s="1"/>
      <c r="ENX158" s="14"/>
      <c r="EOI158" s="1"/>
      <c r="EOJ158" s="1"/>
      <c r="EOK158" s="1"/>
      <c r="EOL158" s="1"/>
      <c r="EOM158" s="1"/>
      <c r="EON158" s="14"/>
      <c r="EOY158" s="1"/>
      <c r="EOZ158" s="1"/>
      <c r="EPA158" s="1"/>
      <c r="EPB158" s="1"/>
      <c r="EPC158" s="1"/>
      <c r="EPD158" s="14"/>
      <c r="EPO158" s="1"/>
      <c r="EPP158" s="1"/>
      <c r="EPQ158" s="1"/>
      <c r="EPR158" s="1"/>
      <c r="EPS158" s="1"/>
      <c r="EPT158" s="14"/>
      <c r="EQE158" s="1"/>
      <c r="EQF158" s="1"/>
      <c r="EQG158" s="1"/>
      <c r="EQH158" s="1"/>
      <c r="EQI158" s="1"/>
      <c r="EQJ158" s="14"/>
      <c r="EQU158" s="1"/>
      <c r="EQV158" s="1"/>
      <c r="EQW158" s="1"/>
      <c r="EQX158" s="1"/>
      <c r="EQY158" s="1"/>
      <c r="EQZ158" s="14"/>
      <c r="ERK158" s="1"/>
      <c r="ERL158" s="1"/>
      <c r="ERM158" s="1"/>
      <c r="ERN158" s="1"/>
      <c r="ERO158" s="1"/>
      <c r="ERP158" s="14"/>
      <c r="ESA158" s="1"/>
      <c r="ESB158" s="1"/>
      <c r="ESC158" s="1"/>
      <c r="ESD158" s="1"/>
      <c r="ESE158" s="1"/>
      <c r="ESF158" s="14"/>
      <c r="ESQ158" s="1"/>
      <c r="ESR158" s="1"/>
      <c r="ESS158" s="1"/>
      <c r="EST158" s="1"/>
      <c r="ESU158" s="1"/>
      <c r="ESV158" s="14"/>
      <c r="ETG158" s="1"/>
      <c r="ETH158" s="1"/>
      <c r="ETI158" s="1"/>
      <c r="ETJ158" s="1"/>
      <c r="ETK158" s="1"/>
      <c r="ETL158" s="14"/>
      <c r="ETW158" s="1"/>
      <c r="ETX158" s="1"/>
      <c r="ETY158" s="1"/>
      <c r="ETZ158" s="1"/>
      <c r="EUA158" s="1"/>
      <c r="EUB158" s="14"/>
      <c r="EUM158" s="1"/>
      <c r="EUN158" s="1"/>
      <c r="EUO158" s="1"/>
      <c r="EUP158" s="1"/>
      <c r="EUQ158" s="1"/>
      <c r="EUR158" s="14"/>
      <c r="EVC158" s="1"/>
      <c r="EVD158" s="1"/>
      <c r="EVE158" s="1"/>
      <c r="EVF158" s="1"/>
      <c r="EVG158" s="1"/>
      <c r="EVH158" s="14"/>
      <c r="EVS158" s="1"/>
      <c r="EVT158" s="1"/>
      <c r="EVU158" s="1"/>
      <c r="EVV158" s="1"/>
      <c r="EVW158" s="1"/>
      <c r="EVX158" s="14"/>
      <c r="EWI158" s="1"/>
      <c r="EWJ158" s="1"/>
      <c r="EWK158" s="1"/>
      <c r="EWL158" s="1"/>
      <c r="EWM158" s="1"/>
      <c r="EWN158" s="14"/>
      <c r="EWY158" s="1"/>
      <c r="EWZ158" s="1"/>
      <c r="EXA158" s="1"/>
      <c r="EXB158" s="1"/>
      <c r="EXC158" s="1"/>
      <c r="EXD158" s="14"/>
      <c r="EXO158" s="1"/>
      <c r="EXP158" s="1"/>
      <c r="EXQ158" s="1"/>
      <c r="EXR158" s="1"/>
      <c r="EXS158" s="1"/>
      <c r="EXT158" s="14"/>
      <c r="EYE158" s="1"/>
      <c r="EYF158" s="1"/>
      <c r="EYG158" s="1"/>
      <c r="EYH158" s="1"/>
      <c r="EYI158" s="1"/>
      <c r="EYJ158" s="14"/>
      <c r="EYU158" s="1"/>
      <c r="EYV158" s="1"/>
      <c r="EYW158" s="1"/>
      <c r="EYX158" s="1"/>
      <c r="EYY158" s="1"/>
      <c r="EYZ158" s="14"/>
      <c r="EZK158" s="1"/>
      <c r="EZL158" s="1"/>
      <c r="EZM158" s="1"/>
      <c r="EZN158" s="1"/>
      <c r="EZO158" s="1"/>
      <c r="EZP158" s="14"/>
      <c r="FAA158" s="1"/>
      <c r="FAB158" s="1"/>
      <c r="FAC158" s="1"/>
      <c r="FAD158" s="1"/>
      <c r="FAE158" s="1"/>
      <c r="FAF158" s="14"/>
      <c r="FAQ158" s="1"/>
      <c r="FAR158" s="1"/>
      <c r="FAS158" s="1"/>
      <c r="FAT158" s="1"/>
      <c r="FAU158" s="1"/>
      <c r="FAV158" s="14"/>
      <c r="FBG158" s="1"/>
      <c r="FBH158" s="1"/>
      <c r="FBI158" s="1"/>
      <c r="FBJ158" s="1"/>
      <c r="FBK158" s="1"/>
      <c r="FBL158" s="14"/>
      <c r="FBW158" s="1"/>
      <c r="FBX158" s="1"/>
      <c r="FBY158" s="1"/>
      <c r="FBZ158" s="1"/>
      <c r="FCA158" s="1"/>
      <c r="FCB158" s="14"/>
      <c r="FCM158" s="1"/>
      <c r="FCN158" s="1"/>
      <c r="FCO158" s="1"/>
      <c r="FCP158" s="1"/>
      <c r="FCQ158" s="1"/>
      <c r="FCR158" s="14"/>
      <c r="FDC158" s="1"/>
      <c r="FDD158" s="1"/>
      <c r="FDE158" s="1"/>
      <c r="FDF158" s="1"/>
      <c r="FDG158" s="1"/>
      <c r="FDH158" s="14"/>
      <c r="FDS158" s="1"/>
      <c r="FDT158" s="1"/>
      <c r="FDU158" s="1"/>
      <c r="FDV158" s="1"/>
      <c r="FDW158" s="1"/>
      <c r="FDX158" s="14"/>
      <c r="FEI158" s="1"/>
      <c r="FEJ158" s="1"/>
      <c r="FEK158" s="1"/>
      <c r="FEL158" s="1"/>
      <c r="FEM158" s="1"/>
      <c r="FEN158" s="14"/>
      <c r="FEY158" s="1"/>
      <c r="FEZ158" s="1"/>
      <c r="FFA158" s="1"/>
      <c r="FFB158" s="1"/>
      <c r="FFC158" s="1"/>
      <c r="FFD158" s="14"/>
      <c r="FFO158" s="1"/>
      <c r="FFP158" s="1"/>
      <c r="FFQ158" s="1"/>
      <c r="FFR158" s="1"/>
      <c r="FFS158" s="1"/>
      <c r="FFT158" s="14"/>
      <c r="FGE158" s="1"/>
      <c r="FGF158" s="1"/>
      <c r="FGG158" s="1"/>
      <c r="FGH158" s="1"/>
      <c r="FGI158" s="1"/>
      <c r="FGJ158" s="14"/>
      <c r="FGU158" s="1"/>
      <c r="FGV158" s="1"/>
      <c r="FGW158" s="1"/>
      <c r="FGX158" s="1"/>
      <c r="FGY158" s="1"/>
      <c r="FGZ158" s="14"/>
      <c r="FHK158" s="1"/>
      <c r="FHL158" s="1"/>
      <c r="FHM158" s="1"/>
      <c r="FHN158" s="1"/>
      <c r="FHO158" s="1"/>
      <c r="FHP158" s="14"/>
      <c r="FIA158" s="1"/>
      <c r="FIB158" s="1"/>
      <c r="FIC158" s="1"/>
      <c r="FID158" s="1"/>
      <c r="FIE158" s="1"/>
      <c r="FIF158" s="14"/>
      <c r="FIQ158" s="1"/>
      <c r="FIR158" s="1"/>
      <c r="FIS158" s="1"/>
      <c r="FIT158" s="1"/>
      <c r="FIU158" s="1"/>
      <c r="FIV158" s="14"/>
      <c r="FJG158" s="1"/>
      <c r="FJH158" s="1"/>
      <c r="FJI158" s="1"/>
      <c r="FJJ158" s="1"/>
      <c r="FJK158" s="1"/>
      <c r="FJL158" s="14"/>
      <c r="FJW158" s="1"/>
      <c r="FJX158" s="1"/>
      <c r="FJY158" s="1"/>
      <c r="FJZ158" s="1"/>
      <c r="FKA158" s="1"/>
      <c r="FKB158" s="14"/>
      <c r="FKM158" s="1"/>
      <c r="FKN158" s="1"/>
      <c r="FKO158" s="1"/>
      <c r="FKP158" s="1"/>
      <c r="FKQ158" s="1"/>
      <c r="FKR158" s="14"/>
      <c r="FLC158" s="1"/>
      <c r="FLD158" s="1"/>
      <c r="FLE158" s="1"/>
      <c r="FLF158" s="1"/>
      <c r="FLG158" s="1"/>
      <c r="FLH158" s="14"/>
      <c r="FLS158" s="1"/>
      <c r="FLT158" s="1"/>
      <c r="FLU158" s="1"/>
      <c r="FLV158" s="1"/>
      <c r="FLW158" s="1"/>
      <c r="FLX158" s="14"/>
      <c r="FMI158" s="1"/>
      <c r="FMJ158" s="1"/>
      <c r="FMK158" s="1"/>
      <c r="FML158" s="1"/>
      <c r="FMM158" s="1"/>
      <c r="FMN158" s="14"/>
      <c r="FMY158" s="1"/>
      <c r="FMZ158" s="1"/>
      <c r="FNA158" s="1"/>
      <c r="FNB158" s="1"/>
      <c r="FNC158" s="1"/>
      <c r="FND158" s="14"/>
      <c r="FNO158" s="1"/>
      <c r="FNP158" s="1"/>
      <c r="FNQ158" s="1"/>
      <c r="FNR158" s="1"/>
      <c r="FNS158" s="1"/>
      <c r="FNT158" s="14"/>
      <c r="FOE158" s="1"/>
      <c r="FOF158" s="1"/>
      <c r="FOG158" s="1"/>
      <c r="FOH158" s="1"/>
      <c r="FOI158" s="1"/>
      <c r="FOJ158" s="14"/>
      <c r="FOU158" s="1"/>
      <c r="FOV158" s="1"/>
      <c r="FOW158" s="1"/>
      <c r="FOX158" s="1"/>
      <c r="FOY158" s="1"/>
      <c r="FOZ158" s="14"/>
      <c r="FPK158" s="1"/>
      <c r="FPL158" s="1"/>
      <c r="FPM158" s="1"/>
      <c r="FPN158" s="1"/>
      <c r="FPO158" s="1"/>
      <c r="FPP158" s="14"/>
      <c r="FQA158" s="1"/>
      <c r="FQB158" s="1"/>
      <c r="FQC158" s="1"/>
      <c r="FQD158" s="1"/>
      <c r="FQE158" s="1"/>
      <c r="FQF158" s="14"/>
      <c r="FQQ158" s="1"/>
      <c r="FQR158" s="1"/>
      <c r="FQS158" s="1"/>
      <c r="FQT158" s="1"/>
      <c r="FQU158" s="1"/>
      <c r="FQV158" s="14"/>
      <c r="FRG158" s="1"/>
      <c r="FRH158" s="1"/>
      <c r="FRI158" s="1"/>
      <c r="FRJ158" s="1"/>
      <c r="FRK158" s="1"/>
      <c r="FRL158" s="14"/>
      <c r="FRW158" s="1"/>
      <c r="FRX158" s="1"/>
      <c r="FRY158" s="1"/>
      <c r="FRZ158" s="1"/>
      <c r="FSA158" s="1"/>
      <c r="FSB158" s="14"/>
      <c r="FSM158" s="1"/>
      <c r="FSN158" s="1"/>
      <c r="FSO158" s="1"/>
      <c r="FSP158" s="1"/>
      <c r="FSQ158" s="1"/>
      <c r="FSR158" s="14"/>
      <c r="FTC158" s="1"/>
      <c r="FTD158" s="1"/>
      <c r="FTE158" s="1"/>
      <c r="FTF158" s="1"/>
      <c r="FTG158" s="1"/>
      <c r="FTH158" s="14"/>
      <c r="FTS158" s="1"/>
      <c r="FTT158" s="1"/>
      <c r="FTU158" s="1"/>
      <c r="FTV158" s="1"/>
      <c r="FTW158" s="1"/>
      <c r="FTX158" s="14"/>
      <c r="FUI158" s="1"/>
      <c r="FUJ158" s="1"/>
      <c r="FUK158" s="1"/>
      <c r="FUL158" s="1"/>
      <c r="FUM158" s="1"/>
      <c r="FUN158" s="14"/>
      <c r="FUY158" s="1"/>
      <c r="FUZ158" s="1"/>
      <c r="FVA158" s="1"/>
      <c r="FVB158" s="1"/>
      <c r="FVC158" s="1"/>
      <c r="FVD158" s="14"/>
      <c r="FVO158" s="1"/>
      <c r="FVP158" s="1"/>
      <c r="FVQ158" s="1"/>
      <c r="FVR158" s="1"/>
      <c r="FVS158" s="1"/>
      <c r="FVT158" s="14"/>
      <c r="FWE158" s="1"/>
      <c r="FWF158" s="1"/>
      <c r="FWG158" s="1"/>
      <c r="FWH158" s="1"/>
      <c r="FWI158" s="1"/>
      <c r="FWJ158" s="14"/>
      <c r="FWU158" s="1"/>
      <c r="FWV158" s="1"/>
      <c r="FWW158" s="1"/>
      <c r="FWX158" s="1"/>
      <c r="FWY158" s="1"/>
      <c r="FWZ158" s="14"/>
      <c r="FXK158" s="1"/>
      <c r="FXL158" s="1"/>
      <c r="FXM158" s="1"/>
      <c r="FXN158" s="1"/>
      <c r="FXO158" s="1"/>
      <c r="FXP158" s="14"/>
      <c r="FYA158" s="1"/>
      <c r="FYB158" s="1"/>
      <c r="FYC158" s="1"/>
      <c r="FYD158" s="1"/>
      <c r="FYE158" s="1"/>
      <c r="FYF158" s="14"/>
      <c r="FYQ158" s="1"/>
      <c r="FYR158" s="1"/>
      <c r="FYS158" s="1"/>
      <c r="FYT158" s="1"/>
      <c r="FYU158" s="1"/>
      <c r="FYV158" s="14"/>
      <c r="FZG158" s="1"/>
      <c r="FZH158" s="1"/>
      <c r="FZI158" s="1"/>
      <c r="FZJ158" s="1"/>
      <c r="FZK158" s="1"/>
      <c r="FZL158" s="14"/>
      <c r="FZW158" s="1"/>
      <c r="FZX158" s="1"/>
      <c r="FZY158" s="1"/>
      <c r="FZZ158" s="1"/>
      <c r="GAA158" s="1"/>
      <c r="GAB158" s="14"/>
      <c r="GAM158" s="1"/>
      <c r="GAN158" s="1"/>
      <c r="GAO158" s="1"/>
      <c r="GAP158" s="1"/>
      <c r="GAQ158" s="1"/>
      <c r="GAR158" s="14"/>
      <c r="GBC158" s="1"/>
      <c r="GBD158" s="1"/>
      <c r="GBE158" s="1"/>
      <c r="GBF158" s="1"/>
      <c r="GBG158" s="1"/>
      <c r="GBH158" s="14"/>
      <c r="GBS158" s="1"/>
      <c r="GBT158" s="1"/>
      <c r="GBU158" s="1"/>
      <c r="GBV158" s="1"/>
      <c r="GBW158" s="1"/>
      <c r="GBX158" s="14"/>
      <c r="GCI158" s="1"/>
      <c r="GCJ158" s="1"/>
      <c r="GCK158" s="1"/>
      <c r="GCL158" s="1"/>
      <c r="GCM158" s="1"/>
      <c r="GCN158" s="14"/>
      <c r="GCY158" s="1"/>
      <c r="GCZ158" s="1"/>
      <c r="GDA158" s="1"/>
      <c r="GDB158" s="1"/>
      <c r="GDC158" s="1"/>
      <c r="GDD158" s="14"/>
      <c r="GDO158" s="1"/>
      <c r="GDP158" s="1"/>
      <c r="GDQ158" s="1"/>
      <c r="GDR158" s="1"/>
      <c r="GDS158" s="1"/>
      <c r="GDT158" s="14"/>
      <c r="GEE158" s="1"/>
      <c r="GEF158" s="1"/>
      <c r="GEG158" s="1"/>
      <c r="GEH158" s="1"/>
      <c r="GEI158" s="1"/>
      <c r="GEJ158" s="14"/>
      <c r="GEU158" s="1"/>
      <c r="GEV158" s="1"/>
      <c r="GEW158" s="1"/>
      <c r="GEX158" s="1"/>
      <c r="GEY158" s="1"/>
      <c r="GEZ158" s="14"/>
      <c r="GFK158" s="1"/>
      <c r="GFL158" s="1"/>
      <c r="GFM158" s="1"/>
      <c r="GFN158" s="1"/>
      <c r="GFO158" s="1"/>
      <c r="GFP158" s="14"/>
      <c r="GGA158" s="1"/>
      <c r="GGB158" s="1"/>
      <c r="GGC158" s="1"/>
      <c r="GGD158" s="1"/>
      <c r="GGE158" s="1"/>
      <c r="GGF158" s="14"/>
      <c r="GGQ158" s="1"/>
      <c r="GGR158" s="1"/>
      <c r="GGS158" s="1"/>
      <c r="GGT158" s="1"/>
      <c r="GGU158" s="1"/>
      <c r="GGV158" s="14"/>
      <c r="GHG158" s="1"/>
      <c r="GHH158" s="1"/>
      <c r="GHI158" s="1"/>
      <c r="GHJ158" s="1"/>
      <c r="GHK158" s="1"/>
      <c r="GHL158" s="14"/>
      <c r="GHW158" s="1"/>
      <c r="GHX158" s="1"/>
      <c r="GHY158" s="1"/>
      <c r="GHZ158" s="1"/>
      <c r="GIA158" s="1"/>
      <c r="GIB158" s="14"/>
      <c r="GIM158" s="1"/>
      <c r="GIN158" s="1"/>
      <c r="GIO158" s="1"/>
      <c r="GIP158" s="1"/>
      <c r="GIQ158" s="1"/>
      <c r="GIR158" s="14"/>
      <c r="GJC158" s="1"/>
      <c r="GJD158" s="1"/>
      <c r="GJE158" s="1"/>
      <c r="GJF158" s="1"/>
      <c r="GJG158" s="1"/>
      <c r="GJH158" s="14"/>
      <c r="GJS158" s="1"/>
      <c r="GJT158" s="1"/>
      <c r="GJU158" s="1"/>
      <c r="GJV158" s="1"/>
      <c r="GJW158" s="1"/>
      <c r="GJX158" s="14"/>
      <c r="GKI158" s="1"/>
      <c r="GKJ158" s="1"/>
      <c r="GKK158" s="1"/>
      <c r="GKL158" s="1"/>
      <c r="GKM158" s="1"/>
      <c r="GKN158" s="14"/>
      <c r="GKY158" s="1"/>
      <c r="GKZ158" s="1"/>
      <c r="GLA158" s="1"/>
      <c r="GLB158" s="1"/>
      <c r="GLC158" s="1"/>
      <c r="GLD158" s="14"/>
      <c r="GLO158" s="1"/>
      <c r="GLP158" s="1"/>
      <c r="GLQ158" s="1"/>
      <c r="GLR158" s="1"/>
      <c r="GLS158" s="1"/>
      <c r="GLT158" s="14"/>
      <c r="GME158" s="1"/>
      <c r="GMF158" s="1"/>
      <c r="GMG158" s="1"/>
      <c r="GMH158" s="1"/>
      <c r="GMI158" s="1"/>
      <c r="GMJ158" s="14"/>
      <c r="GMU158" s="1"/>
      <c r="GMV158" s="1"/>
      <c r="GMW158" s="1"/>
      <c r="GMX158" s="1"/>
      <c r="GMY158" s="1"/>
      <c r="GMZ158" s="14"/>
      <c r="GNK158" s="1"/>
      <c r="GNL158" s="1"/>
      <c r="GNM158" s="1"/>
      <c r="GNN158" s="1"/>
      <c r="GNO158" s="1"/>
      <c r="GNP158" s="14"/>
      <c r="GOA158" s="1"/>
      <c r="GOB158" s="1"/>
      <c r="GOC158" s="1"/>
      <c r="GOD158" s="1"/>
      <c r="GOE158" s="1"/>
      <c r="GOF158" s="14"/>
      <c r="GOQ158" s="1"/>
      <c r="GOR158" s="1"/>
      <c r="GOS158" s="1"/>
      <c r="GOT158" s="1"/>
      <c r="GOU158" s="1"/>
      <c r="GOV158" s="14"/>
      <c r="GPG158" s="1"/>
      <c r="GPH158" s="1"/>
      <c r="GPI158" s="1"/>
      <c r="GPJ158" s="1"/>
      <c r="GPK158" s="1"/>
      <c r="GPL158" s="14"/>
      <c r="GPW158" s="1"/>
      <c r="GPX158" s="1"/>
      <c r="GPY158" s="1"/>
      <c r="GPZ158" s="1"/>
      <c r="GQA158" s="1"/>
      <c r="GQB158" s="14"/>
      <c r="GQM158" s="1"/>
      <c r="GQN158" s="1"/>
      <c r="GQO158" s="1"/>
      <c r="GQP158" s="1"/>
      <c r="GQQ158" s="1"/>
      <c r="GQR158" s="14"/>
      <c r="GRC158" s="1"/>
      <c r="GRD158" s="1"/>
      <c r="GRE158" s="1"/>
      <c r="GRF158" s="1"/>
      <c r="GRG158" s="1"/>
      <c r="GRH158" s="14"/>
      <c r="GRS158" s="1"/>
      <c r="GRT158" s="1"/>
      <c r="GRU158" s="1"/>
      <c r="GRV158" s="1"/>
      <c r="GRW158" s="1"/>
      <c r="GRX158" s="14"/>
      <c r="GSI158" s="1"/>
      <c r="GSJ158" s="1"/>
      <c r="GSK158" s="1"/>
      <c r="GSL158" s="1"/>
      <c r="GSM158" s="1"/>
      <c r="GSN158" s="14"/>
      <c r="GSY158" s="1"/>
      <c r="GSZ158" s="1"/>
      <c r="GTA158" s="1"/>
      <c r="GTB158" s="1"/>
      <c r="GTC158" s="1"/>
      <c r="GTD158" s="14"/>
      <c r="GTO158" s="1"/>
      <c r="GTP158" s="1"/>
      <c r="GTQ158" s="1"/>
      <c r="GTR158" s="1"/>
      <c r="GTS158" s="1"/>
      <c r="GTT158" s="14"/>
      <c r="GUE158" s="1"/>
      <c r="GUF158" s="1"/>
      <c r="GUG158" s="1"/>
      <c r="GUH158" s="1"/>
      <c r="GUI158" s="1"/>
      <c r="GUJ158" s="14"/>
      <c r="GUU158" s="1"/>
      <c r="GUV158" s="1"/>
      <c r="GUW158" s="1"/>
      <c r="GUX158" s="1"/>
      <c r="GUY158" s="1"/>
      <c r="GUZ158" s="14"/>
      <c r="GVK158" s="1"/>
      <c r="GVL158" s="1"/>
      <c r="GVM158" s="1"/>
      <c r="GVN158" s="1"/>
      <c r="GVO158" s="1"/>
      <c r="GVP158" s="14"/>
      <c r="GWA158" s="1"/>
      <c r="GWB158" s="1"/>
      <c r="GWC158" s="1"/>
      <c r="GWD158" s="1"/>
      <c r="GWE158" s="1"/>
      <c r="GWF158" s="14"/>
      <c r="GWQ158" s="1"/>
      <c r="GWR158" s="1"/>
      <c r="GWS158" s="1"/>
      <c r="GWT158" s="1"/>
      <c r="GWU158" s="1"/>
      <c r="GWV158" s="14"/>
      <c r="GXG158" s="1"/>
      <c r="GXH158" s="1"/>
      <c r="GXI158" s="1"/>
      <c r="GXJ158" s="1"/>
      <c r="GXK158" s="1"/>
      <c r="GXL158" s="14"/>
      <c r="GXW158" s="1"/>
      <c r="GXX158" s="1"/>
      <c r="GXY158" s="1"/>
      <c r="GXZ158" s="1"/>
      <c r="GYA158" s="1"/>
      <c r="GYB158" s="14"/>
      <c r="GYM158" s="1"/>
      <c r="GYN158" s="1"/>
      <c r="GYO158" s="1"/>
      <c r="GYP158" s="1"/>
      <c r="GYQ158" s="1"/>
      <c r="GYR158" s="14"/>
      <c r="GZC158" s="1"/>
      <c r="GZD158" s="1"/>
      <c r="GZE158" s="1"/>
      <c r="GZF158" s="1"/>
      <c r="GZG158" s="1"/>
      <c r="GZH158" s="14"/>
      <c r="GZS158" s="1"/>
      <c r="GZT158" s="1"/>
      <c r="GZU158" s="1"/>
      <c r="GZV158" s="1"/>
      <c r="GZW158" s="1"/>
      <c r="GZX158" s="14"/>
      <c r="HAI158" s="1"/>
      <c r="HAJ158" s="1"/>
      <c r="HAK158" s="1"/>
      <c r="HAL158" s="1"/>
      <c r="HAM158" s="1"/>
      <c r="HAN158" s="14"/>
      <c r="HAY158" s="1"/>
      <c r="HAZ158" s="1"/>
      <c r="HBA158" s="1"/>
      <c r="HBB158" s="1"/>
      <c r="HBC158" s="1"/>
      <c r="HBD158" s="14"/>
      <c r="HBO158" s="1"/>
      <c r="HBP158" s="1"/>
      <c r="HBQ158" s="1"/>
      <c r="HBR158" s="1"/>
      <c r="HBS158" s="1"/>
      <c r="HBT158" s="14"/>
      <c r="HCE158" s="1"/>
      <c r="HCF158" s="1"/>
      <c r="HCG158" s="1"/>
      <c r="HCH158" s="1"/>
      <c r="HCI158" s="1"/>
      <c r="HCJ158" s="14"/>
      <c r="HCU158" s="1"/>
      <c r="HCV158" s="1"/>
      <c r="HCW158" s="1"/>
      <c r="HCX158" s="1"/>
      <c r="HCY158" s="1"/>
      <c r="HCZ158" s="14"/>
      <c r="HDK158" s="1"/>
      <c r="HDL158" s="1"/>
      <c r="HDM158" s="1"/>
      <c r="HDN158" s="1"/>
      <c r="HDO158" s="1"/>
      <c r="HDP158" s="14"/>
      <c r="HEA158" s="1"/>
      <c r="HEB158" s="1"/>
      <c r="HEC158" s="1"/>
      <c r="HED158" s="1"/>
      <c r="HEE158" s="1"/>
      <c r="HEF158" s="14"/>
      <c r="HEQ158" s="1"/>
      <c r="HER158" s="1"/>
      <c r="HES158" s="1"/>
      <c r="HET158" s="1"/>
      <c r="HEU158" s="1"/>
      <c r="HEV158" s="14"/>
      <c r="HFG158" s="1"/>
      <c r="HFH158" s="1"/>
      <c r="HFI158" s="1"/>
      <c r="HFJ158" s="1"/>
      <c r="HFK158" s="1"/>
      <c r="HFL158" s="14"/>
      <c r="HFW158" s="1"/>
      <c r="HFX158" s="1"/>
      <c r="HFY158" s="1"/>
      <c r="HFZ158" s="1"/>
      <c r="HGA158" s="1"/>
      <c r="HGB158" s="14"/>
      <c r="HGM158" s="1"/>
      <c r="HGN158" s="1"/>
      <c r="HGO158" s="1"/>
      <c r="HGP158" s="1"/>
      <c r="HGQ158" s="1"/>
      <c r="HGR158" s="14"/>
      <c r="HHC158" s="1"/>
      <c r="HHD158" s="1"/>
      <c r="HHE158" s="1"/>
      <c r="HHF158" s="1"/>
      <c r="HHG158" s="1"/>
      <c r="HHH158" s="14"/>
      <c r="HHS158" s="1"/>
      <c r="HHT158" s="1"/>
      <c r="HHU158" s="1"/>
      <c r="HHV158" s="1"/>
      <c r="HHW158" s="1"/>
      <c r="HHX158" s="14"/>
      <c r="HII158" s="1"/>
      <c r="HIJ158" s="1"/>
      <c r="HIK158" s="1"/>
      <c r="HIL158" s="1"/>
      <c r="HIM158" s="1"/>
      <c r="HIN158" s="14"/>
      <c r="HIY158" s="1"/>
      <c r="HIZ158" s="1"/>
      <c r="HJA158" s="1"/>
      <c r="HJB158" s="1"/>
      <c r="HJC158" s="1"/>
      <c r="HJD158" s="14"/>
      <c r="HJO158" s="1"/>
      <c r="HJP158" s="1"/>
      <c r="HJQ158" s="1"/>
      <c r="HJR158" s="1"/>
      <c r="HJS158" s="1"/>
      <c r="HJT158" s="14"/>
      <c r="HKE158" s="1"/>
      <c r="HKF158" s="1"/>
      <c r="HKG158" s="1"/>
      <c r="HKH158" s="1"/>
      <c r="HKI158" s="1"/>
      <c r="HKJ158" s="14"/>
      <c r="HKU158" s="1"/>
      <c r="HKV158" s="1"/>
      <c r="HKW158" s="1"/>
      <c r="HKX158" s="1"/>
      <c r="HKY158" s="1"/>
      <c r="HKZ158" s="14"/>
      <c r="HLK158" s="1"/>
      <c r="HLL158" s="1"/>
      <c r="HLM158" s="1"/>
      <c r="HLN158" s="1"/>
      <c r="HLO158" s="1"/>
      <c r="HLP158" s="14"/>
      <c r="HMA158" s="1"/>
      <c r="HMB158" s="1"/>
      <c r="HMC158" s="1"/>
      <c r="HMD158" s="1"/>
      <c r="HME158" s="1"/>
      <c r="HMF158" s="14"/>
      <c r="HMQ158" s="1"/>
      <c r="HMR158" s="1"/>
      <c r="HMS158" s="1"/>
      <c r="HMT158" s="1"/>
      <c r="HMU158" s="1"/>
      <c r="HMV158" s="14"/>
      <c r="HNG158" s="1"/>
      <c r="HNH158" s="1"/>
      <c r="HNI158" s="1"/>
      <c r="HNJ158" s="1"/>
      <c r="HNK158" s="1"/>
      <c r="HNL158" s="14"/>
      <c r="HNW158" s="1"/>
      <c r="HNX158" s="1"/>
      <c r="HNY158" s="1"/>
      <c r="HNZ158" s="1"/>
      <c r="HOA158" s="1"/>
      <c r="HOB158" s="14"/>
      <c r="HOM158" s="1"/>
      <c r="HON158" s="1"/>
      <c r="HOO158" s="1"/>
      <c r="HOP158" s="1"/>
      <c r="HOQ158" s="1"/>
      <c r="HOR158" s="14"/>
      <c r="HPC158" s="1"/>
      <c r="HPD158" s="1"/>
      <c r="HPE158" s="1"/>
      <c r="HPF158" s="1"/>
      <c r="HPG158" s="1"/>
      <c r="HPH158" s="14"/>
      <c r="HPS158" s="1"/>
      <c r="HPT158" s="1"/>
      <c r="HPU158" s="1"/>
      <c r="HPV158" s="1"/>
      <c r="HPW158" s="1"/>
      <c r="HPX158" s="14"/>
      <c r="HQI158" s="1"/>
      <c r="HQJ158" s="1"/>
      <c r="HQK158" s="1"/>
      <c r="HQL158" s="1"/>
      <c r="HQM158" s="1"/>
      <c r="HQN158" s="14"/>
      <c r="HQY158" s="1"/>
      <c r="HQZ158" s="1"/>
      <c r="HRA158" s="1"/>
      <c r="HRB158" s="1"/>
      <c r="HRC158" s="1"/>
      <c r="HRD158" s="14"/>
      <c r="HRO158" s="1"/>
      <c r="HRP158" s="1"/>
      <c r="HRQ158" s="1"/>
      <c r="HRR158" s="1"/>
      <c r="HRS158" s="1"/>
      <c r="HRT158" s="14"/>
      <c r="HSE158" s="1"/>
      <c r="HSF158" s="1"/>
      <c r="HSG158" s="1"/>
      <c r="HSH158" s="1"/>
      <c r="HSI158" s="1"/>
      <c r="HSJ158" s="14"/>
      <c r="HSU158" s="1"/>
      <c r="HSV158" s="1"/>
      <c r="HSW158" s="1"/>
      <c r="HSX158" s="1"/>
      <c r="HSY158" s="1"/>
      <c r="HSZ158" s="14"/>
      <c r="HTK158" s="1"/>
      <c r="HTL158" s="1"/>
      <c r="HTM158" s="1"/>
      <c r="HTN158" s="1"/>
      <c r="HTO158" s="1"/>
      <c r="HTP158" s="14"/>
      <c r="HUA158" s="1"/>
      <c r="HUB158" s="1"/>
      <c r="HUC158" s="1"/>
      <c r="HUD158" s="1"/>
      <c r="HUE158" s="1"/>
      <c r="HUF158" s="14"/>
      <c r="HUQ158" s="1"/>
      <c r="HUR158" s="1"/>
      <c r="HUS158" s="1"/>
      <c r="HUT158" s="1"/>
      <c r="HUU158" s="1"/>
      <c r="HUV158" s="14"/>
      <c r="HVG158" s="1"/>
      <c r="HVH158" s="1"/>
      <c r="HVI158" s="1"/>
      <c r="HVJ158" s="1"/>
      <c r="HVK158" s="1"/>
      <c r="HVL158" s="14"/>
      <c r="HVW158" s="1"/>
      <c r="HVX158" s="1"/>
      <c r="HVY158" s="1"/>
      <c r="HVZ158" s="1"/>
      <c r="HWA158" s="1"/>
      <c r="HWB158" s="14"/>
      <c r="HWM158" s="1"/>
      <c r="HWN158" s="1"/>
      <c r="HWO158" s="1"/>
      <c r="HWP158" s="1"/>
      <c r="HWQ158" s="1"/>
      <c r="HWR158" s="14"/>
      <c r="HXC158" s="1"/>
      <c r="HXD158" s="1"/>
      <c r="HXE158" s="1"/>
      <c r="HXF158" s="1"/>
      <c r="HXG158" s="1"/>
      <c r="HXH158" s="14"/>
      <c r="HXS158" s="1"/>
      <c r="HXT158" s="1"/>
      <c r="HXU158" s="1"/>
      <c r="HXV158" s="1"/>
      <c r="HXW158" s="1"/>
      <c r="HXX158" s="14"/>
      <c r="HYI158" s="1"/>
      <c r="HYJ158" s="1"/>
      <c r="HYK158" s="1"/>
      <c r="HYL158" s="1"/>
      <c r="HYM158" s="1"/>
      <c r="HYN158" s="14"/>
      <c r="HYY158" s="1"/>
      <c r="HYZ158" s="1"/>
      <c r="HZA158" s="1"/>
      <c r="HZB158" s="1"/>
      <c r="HZC158" s="1"/>
      <c r="HZD158" s="14"/>
      <c r="HZO158" s="1"/>
      <c r="HZP158" s="1"/>
      <c r="HZQ158" s="1"/>
      <c r="HZR158" s="1"/>
      <c r="HZS158" s="1"/>
      <c r="HZT158" s="14"/>
      <c r="IAE158" s="1"/>
      <c r="IAF158" s="1"/>
      <c r="IAG158" s="1"/>
      <c r="IAH158" s="1"/>
      <c r="IAI158" s="1"/>
      <c r="IAJ158" s="14"/>
      <c r="IAU158" s="1"/>
      <c r="IAV158" s="1"/>
      <c r="IAW158" s="1"/>
      <c r="IAX158" s="1"/>
      <c r="IAY158" s="1"/>
      <c r="IAZ158" s="14"/>
      <c r="IBK158" s="1"/>
      <c r="IBL158" s="1"/>
      <c r="IBM158" s="1"/>
      <c r="IBN158" s="1"/>
      <c r="IBO158" s="1"/>
      <c r="IBP158" s="14"/>
      <c r="ICA158" s="1"/>
      <c r="ICB158" s="1"/>
      <c r="ICC158" s="1"/>
      <c r="ICD158" s="1"/>
      <c r="ICE158" s="1"/>
      <c r="ICF158" s="14"/>
      <c r="ICQ158" s="1"/>
      <c r="ICR158" s="1"/>
      <c r="ICS158" s="1"/>
      <c r="ICT158" s="1"/>
      <c r="ICU158" s="1"/>
      <c r="ICV158" s="14"/>
      <c r="IDG158" s="1"/>
      <c r="IDH158" s="1"/>
      <c r="IDI158" s="1"/>
      <c r="IDJ158" s="1"/>
      <c r="IDK158" s="1"/>
      <c r="IDL158" s="14"/>
      <c r="IDW158" s="1"/>
      <c r="IDX158" s="1"/>
      <c r="IDY158" s="1"/>
      <c r="IDZ158" s="1"/>
      <c r="IEA158" s="1"/>
      <c r="IEB158" s="14"/>
      <c r="IEM158" s="1"/>
      <c r="IEN158" s="1"/>
      <c r="IEO158" s="1"/>
      <c r="IEP158" s="1"/>
      <c r="IEQ158" s="1"/>
      <c r="IER158" s="14"/>
      <c r="IFC158" s="1"/>
      <c r="IFD158" s="1"/>
      <c r="IFE158" s="1"/>
      <c r="IFF158" s="1"/>
      <c r="IFG158" s="1"/>
      <c r="IFH158" s="14"/>
      <c r="IFS158" s="1"/>
      <c r="IFT158" s="1"/>
      <c r="IFU158" s="1"/>
      <c r="IFV158" s="1"/>
      <c r="IFW158" s="1"/>
      <c r="IFX158" s="14"/>
      <c r="IGI158" s="1"/>
      <c r="IGJ158" s="1"/>
      <c r="IGK158" s="1"/>
      <c r="IGL158" s="1"/>
      <c r="IGM158" s="1"/>
      <c r="IGN158" s="14"/>
      <c r="IGY158" s="1"/>
      <c r="IGZ158" s="1"/>
      <c r="IHA158" s="1"/>
      <c r="IHB158" s="1"/>
      <c r="IHC158" s="1"/>
      <c r="IHD158" s="14"/>
      <c r="IHO158" s="1"/>
      <c r="IHP158" s="1"/>
      <c r="IHQ158" s="1"/>
      <c r="IHR158" s="1"/>
      <c r="IHS158" s="1"/>
      <c r="IHT158" s="14"/>
      <c r="IIE158" s="1"/>
      <c r="IIF158" s="1"/>
      <c r="IIG158" s="1"/>
      <c r="IIH158" s="1"/>
      <c r="III158" s="1"/>
      <c r="IIJ158" s="14"/>
      <c r="IIU158" s="1"/>
      <c r="IIV158" s="1"/>
      <c r="IIW158" s="1"/>
      <c r="IIX158" s="1"/>
      <c r="IIY158" s="1"/>
      <c r="IIZ158" s="14"/>
      <c r="IJK158" s="1"/>
      <c r="IJL158" s="1"/>
      <c r="IJM158" s="1"/>
      <c r="IJN158" s="1"/>
      <c r="IJO158" s="1"/>
      <c r="IJP158" s="14"/>
      <c r="IKA158" s="1"/>
      <c r="IKB158" s="1"/>
      <c r="IKC158" s="1"/>
      <c r="IKD158" s="1"/>
      <c r="IKE158" s="1"/>
      <c r="IKF158" s="14"/>
      <c r="IKQ158" s="1"/>
      <c r="IKR158" s="1"/>
      <c r="IKS158" s="1"/>
      <c r="IKT158" s="1"/>
      <c r="IKU158" s="1"/>
      <c r="IKV158" s="14"/>
      <c r="ILG158" s="1"/>
      <c r="ILH158" s="1"/>
      <c r="ILI158" s="1"/>
      <c r="ILJ158" s="1"/>
      <c r="ILK158" s="1"/>
      <c r="ILL158" s="14"/>
      <c r="ILW158" s="1"/>
      <c r="ILX158" s="1"/>
      <c r="ILY158" s="1"/>
      <c r="ILZ158" s="1"/>
      <c r="IMA158" s="1"/>
      <c r="IMB158" s="14"/>
      <c r="IMM158" s="1"/>
      <c r="IMN158" s="1"/>
      <c r="IMO158" s="1"/>
      <c r="IMP158" s="1"/>
      <c r="IMQ158" s="1"/>
      <c r="IMR158" s="14"/>
      <c r="INC158" s="1"/>
      <c r="IND158" s="1"/>
      <c r="INE158" s="1"/>
      <c r="INF158" s="1"/>
      <c r="ING158" s="1"/>
      <c r="INH158" s="14"/>
      <c r="INS158" s="1"/>
      <c r="INT158" s="1"/>
      <c r="INU158" s="1"/>
      <c r="INV158" s="1"/>
      <c r="INW158" s="1"/>
      <c r="INX158" s="14"/>
      <c r="IOI158" s="1"/>
      <c r="IOJ158" s="1"/>
      <c r="IOK158" s="1"/>
      <c r="IOL158" s="1"/>
      <c r="IOM158" s="1"/>
      <c r="ION158" s="14"/>
      <c r="IOY158" s="1"/>
      <c r="IOZ158" s="1"/>
      <c r="IPA158" s="1"/>
      <c r="IPB158" s="1"/>
      <c r="IPC158" s="1"/>
      <c r="IPD158" s="14"/>
      <c r="IPO158" s="1"/>
      <c r="IPP158" s="1"/>
      <c r="IPQ158" s="1"/>
      <c r="IPR158" s="1"/>
      <c r="IPS158" s="1"/>
      <c r="IPT158" s="14"/>
      <c r="IQE158" s="1"/>
      <c r="IQF158" s="1"/>
      <c r="IQG158" s="1"/>
      <c r="IQH158" s="1"/>
      <c r="IQI158" s="1"/>
      <c r="IQJ158" s="14"/>
      <c r="IQU158" s="1"/>
      <c r="IQV158" s="1"/>
      <c r="IQW158" s="1"/>
      <c r="IQX158" s="1"/>
      <c r="IQY158" s="1"/>
      <c r="IQZ158" s="14"/>
      <c r="IRK158" s="1"/>
      <c r="IRL158" s="1"/>
      <c r="IRM158" s="1"/>
      <c r="IRN158" s="1"/>
      <c r="IRO158" s="1"/>
      <c r="IRP158" s="14"/>
      <c r="ISA158" s="1"/>
      <c r="ISB158" s="1"/>
      <c r="ISC158" s="1"/>
      <c r="ISD158" s="1"/>
      <c r="ISE158" s="1"/>
      <c r="ISF158" s="14"/>
      <c r="ISQ158" s="1"/>
      <c r="ISR158" s="1"/>
      <c r="ISS158" s="1"/>
      <c r="IST158" s="1"/>
      <c r="ISU158" s="1"/>
      <c r="ISV158" s="14"/>
      <c r="ITG158" s="1"/>
      <c r="ITH158" s="1"/>
      <c r="ITI158" s="1"/>
      <c r="ITJ158" s="1"/>
      <c r="ITK158" s="1"/>
      <c r="ITL158" s="14"/>
      <c r="ITW158" s="1"/>
      <c r="ITX158" s="1"/>
      <c r="ITY158" s="1"/>
      <c r="ITZ158" s="1"/>
      <c r="IUA158" s="1"/>
      <c r="IUB158" s="14"/>
      <c r="IUM158" s="1"/>
      <c r="IUN158" s="1"/>
      <c r="IUO158" s="1"/>
      <c r="IUP158" s="1"/>
      <c r="IUQ158" s="1"/>
      <c r="IUR158" s="14"/>
      <c r="IVC158" s="1"/>
      <c r="IVD158" s="1"/>
      <c r="IVE158" s="1"/>
      <c r="IVF158" s="1"/>
      <c r="IVG158" s="1"/>
      <c r="IVH158" s="14"/>
      <c r="IVS158" s="1"/>
      <c r="IVT158" s="1"/>
      <c r="IVU158" s="1"/>
      <c r="IVV158" s="1"/>
      <c r="IVW158" s="1"/>
      <c r="IVX158" s="14"/>
      <c r="IWI158" s="1"/>
      <c r="IWJ158" s="1"/>
      <c r="IWK158" s="1"/>
      <c r="IWL158" s="1"/>
      <c r="IWM158" s="1"/>
      <c r="IWN158" s="14"/>
      <c r="IWY158" s="1"/>
      <c r="IWZ158" s="1"/>
      <c r="IXA158" s="1"/>
      <c r="IXB158" s="1"/>
      <c r="IXC158" s="1"/>
      <c r="IXD158" s="14"/>
      <c r="IXO158" s="1"/>
      <c r="IXP158" s="1"/>
      <c r="IXQ158" s="1"/>
      <c r="IXR158" s="1"/>
      <c r="IXS158" s="1"/>
      <c r="IXT158" s="14"/>
      <c r="IYE158" s="1"/>
      <c r="IYF158" s="1"/>
      <c r="IYG158" s="1"/>
      <c r="IYH158" s="1"/>
      <c r="IYI158" s="1"/>
      <c r="IYJ158" s="14"/>
      <c r="IYU158" s="1"/>
      <c r="IYV158" s="1"/>
      <c r="IYW158" s="1"/>
      <c r="IYX158" s="1"/>
      <c r="IYY158" s="1"/>
      <c r="IYZ158" s="14"/>
      <c r="IZK158" s="1"/>
      <c r="IZL158" s="1"/>
      <c r="IZM158" s="1"/>
      <c r="IZN158" s="1"/>
      <c r="IZO158" s="1"/>
      <c r="IZP158" s="14"/>
      <c r="JAA158" s="1"/>
      <c r="JAB158" s="1"/>
      <c r="JAC158" s="1"/>
      <c r="JAD158" s="1"/>
      <c r="JAE158" s="1"/>
      <c r="JAF158" s="14"/>
      <c r="JAQ158" s="1"/>
      <c r="JAR158" s="1"/>
      <c r="JAS158" s="1"/>
      <c r="JAT158" s="1"/>
      <c r="JAU158" s="1"/>
      <c r="JAV158" s="14"/>
      <c r="JBG158" s="1"/>
      <c r="JBH158" s="1"/>
      <c r="JBI158" s="1"/>
      <c r="JBJ158" s="1"/>
      <c r="JBK158" s="1"/>
      <c r="JBL158" s="14"/>
      <c r="JBW158" s="1"/>
      <c r="JBX158" s="1"/>
      <c r="JBY158" s="1"/>
      <c r="JBZ158" s="1"/>
      <c r="JCA158" s="1"/>
      <c r="JCB158" s="14"/>
      <c r="JCM158" s="1"/>
      <c r="JCN158" s="1"/>
      <c r="JCO158" s="1"/>
      <c r="JCP158" s="1"/>
      <c r="JCQ158" s="1"/>
      <c r="JCR158" s="14"/>
      <c r="JDC158" s="1"/>
      <c r="JDD158" s="1"/>
      <c r="JDE158" s="1"/>
      <c r="JDF158" s="1"/>
      <c r="JDG158" s="1"/>
      <c r="JDH158" s="14"/>
      <c r="JDS158" s="1"/>
      <c r="JDT158" s="1"/>
      <c r="JDU158" s="1"/>
      <c r="JDV158" s="1"/>
      <c r="JDW158" s="1"/>
      <c r="JDX158" s="14"/>
      <c r="JEI158" s="1"/>
      <c r="JEJ158" s="1"/>
      <c r="JEK158" s="1"/>
      <c r="JEL158" s="1"/>
      <c r="JEM158" s="1"/>
      <c r="JEN158" s="14"/>
      <c r="JEY158" s="1"/>
      <c r="JEZ158" s="1"/>
      <c r="JFA158" s="1"/>
      <c r="JFB158" s="1"/>
      <c r="JFC158" s="1"/>
      <c r="JFD158" s="14"/>
      <c r="JFO158" s="1"/>
      <c r="JFP158" s="1"/>
      <c r="JFQ158" s="1"/>
      <c r="JFR158" s="1"/>
      <c r="JFS158" s="1"/>
      <c r="JFT158" s="14"/>
      <c r="JGE158" s="1"/>
      <c r="JGF158" s="1"/>
      <c r="JGG158" s="1"/>
      <c r="JGH158" s="1"/>
      <c r="JGI158" s="1"/>
      <c r="JGJ158" s="14"/>
      <c r="JGU158" s="1"/>
      <c r="JGV158" s="1"/>
      <c r="JGW158" s="1"/>
      <c r="JGX158" s="1"/>
      <c r="JGY158" s="1"/>
      <c r="JGZ158" s="14"/>
      <c r="JHK158" s="1"/>
      <c r="JHL158" s="1"/>
      <c r="JHM158" s="1"/>
      <c r="JHN158" s="1"/>
      <c r="JHO158" s="1"/>
      <c r="JHP158" s="14"/>
      <c r="JIA158" s="1"/>
      <c r="JIB158" s="1"/>
      <c r="JIC158" s="1"/>
      <c r="JID158" s="1"/>
      <c r="JIE158" s="1"/>
      <c r="JIF158" s="14"/>
      <c r="JIQ158" s="1"/>
      <c r="JIR158" s="1"/>
      <c r="JIS158" s="1"/>
      <c r="JIT158" s="1"/>
      <c r="JIU158" s="1"/>
      <c r="JIV158" s="14"/>
      <c r="JJG158" s="1"/>
      <c r="JJH158" s="1"/>
      <c r="JJI158" s="1"/>
      <c r="JJJ158" s="1"/>
      <c r="JJK158" s="1"/>
      <c r="JJL158" s="14"/>
      <c r="JJW158" s="1"/>
      <c r="JJX158" s="1"/>
      <c r="JJY158" s="1"/>
      <c r="JJZ158" s="1"/>
      <c r="JKA158" s="1"/>
      <c r="JKB158" s="14"/>
      <c r="JKM158" s="1"/>
      <c r="JKN158" s="1"/>
      <c r="JKO158" s="1"/>
      <c r="JKP158" s="1"/>
      <c r="JKQ158" s="1"/>
      <c r="JKR158" s="14"/>
      <c r="JLC158" s="1"/>
      <c r="JLD158" s="1"/>
      <c r="JLE158" s="1"/>
      <c r="JLF158" s="1"/>
      <c r="JLG158" s="1"/>
      <c r="JLH158" s="14"/>
      <c r="JLS158" s="1"/>
      <c r="JLT158" s="1"/>
      <c r="JLU158" s="1"/>
      <c r="JLV158" s="1"/>
      <c r="JLW158" s="1"/>
      <c r="JLX158" s="14"/>
      <c r="JMI158" s="1"/>
      <c r="JMJ158" s="1"/>
      <c r="JMK158" s="1"/>
      <c r="JML158" s="1"/>
      <c r="JMM158" s="1"/>
      <c r="JMN158" s="14"/>
      <c r="JMY158" s="1"/>
      <c r="JMZ158" s="1"/>
      <c r="JNA158" s="1"/>
      <c r="JNB158" s="1"/>
      <c r="JNC158" s="1"/>
      <c r="JND158" s="14"/>
      <c r="JNO158" s="1"/>
      <c r="JNP158" s="1"/>
      <c r="JNQ158" s="1"/>
      <c r="JNR158" s="1"/>
      <c r="JNS158" s="1"/>
      <c r="JNT158" s="14"/>
      <c r="JOE158" s="1"/>
      <c r="JOF158" s="1"/>
      <c r="JOG158" s="1"/>
      <c r="JOH158" s="1"/>
      <c r="JOI158" s="1"/>
      <c r="JOJ158" s="14"/>
      <c r="JOU158" s="1"/>
      <c r="JOV158" s="1"/>
      <c r="JOW158" s="1"/>
      <c r="JOX158" s="1"/>
      <c r="JOY158" s="1"/>
      <c r="JOZ158" s="14"/>
      <c r="JPK158" s="1"/>
      <c r="JPL158" s="1"/>
      <c r="JPM158" s="1"/>
      <c r="JPN158" s="1"/>
      <c r="JPO158" s="1"/>
      <c r="JPP158" s="14"/>
      <c r="JQA158" s="1"/>
      <c r="JQB158" s="1"/>
      <c r="JQC158" s="1"/>
      <c r="JQD158" s="1"/>
      <c r="JQE158" s="1"/>
      <c r="JQF158" s="14"/>
      <c r="JQQ158" s="1"/>
      <c r="JQR158" s="1"/>
      <c r="JQS158" s="1"/>
      <c r="JQT158" s="1"/>
      <c r="JQU158" s="1"/>
      <c r="JQV158" s="14"/>
      <c r="JRG158" s="1"/>
      <c r="JRH158" s="1"/>
      <c r="JRI158" s="1"/>
      <c r="JRJ158" s="1"/>
      <c r="JRK158" s="1"/>
      <c r="JRL158" s="14"/>
      <c r="JRW158" s="1"/>
      <c r="JRX158" s="1"/>
      <c r="JRY158" s="1"/>
      <c r="JRZ158" s="1"/>
      <c r="JSA158" s="1"/>
      <c r="JSB158" s="14"/>
      <c r="JSM158" s="1"/>
      <c r="JSN158" s="1"/>
      <c r="JSO158" s="1"/>
      <c r="JSP158" s="1"/>
      <c r="JSQ158" s="1"/>
      <c r="JSR158" s="14"/>
      <c r="JTC158" s="1"/>
      <c r="JTD158" s="1"/>
      <c r="JTE158" s="1"/>
      <c r="JTF158" s="1"/>
      <c r="JTG158" s="1"/>
      <c r="JTH158" s="14"/>
      <c r="JTS158" s="1"/>
      <c r="JTT158" s="1"/>
      <c r="JTU158" s="1"/>
      <c r="JTV158" s="1"/>
      <c r="JTW158" s="1"/>
      <c r="JTX158" s="14"/>
      <c r="JUI158" s="1"/>
      <c r="JUJ158" s="1"/>
      <c r="JUK158" s="1"/>
      <c r="JUL158" s="1"/>
      <c r="JUM158" s="1"/>
      <c r="JUN158" s="14"/>
      <c r="JUY158" s="1"/>
      <c r="JUZ158" s="1"/>
      <c r="JVA158" s="1"/>
      <c r="JVB158" s="1"/>
      <c r="JVC158" s="1"/>
      <c r="JVD158" s="14"/>
      <c r="JVO158" s="1"/>
      <c r="JVP158" s="1"/>
      <c r="JVQ158" s="1"/>
      <c r="JVR158" s="1"/>
      <c r="JVS158" s="1"/>
      <c r="JVT158" s="14"/>
      <c r="JWE158" s="1"/>
      <c r="JWF158" s="1"/>
      <c r="JWG158" s="1"/>
      <c r="JWH158" s="1"/>
      <c r="JWI158" s="1"/>
      <c r="JWJ158" s="14"/>
      <c r="JWU158" s="1"/>
      <c r="JWV158" s="1"/>
      <c r="JWW158" s="1"/>
      <c r="JWX158" s="1"/>
      <c r="JWY158" s="1"/>
      <c r="JWZ158" s="14"/>
      <c r="JXK158" s="1"/>
      <c r="JXL158" s="1"/>
      <c r="JXM158" s="1"/>
      <c r="JXN158" s="1"/>
      <c r="JXO158" s="1"/>
      <c r="JXP158" s="14"/>
      <c r="JYA158" s="1"/>
      <c r="JYB158" s="1"/>
      <c r="JYC158" s="1"/>
      <c r="JYD158" s="1"/>
      <c r="JYE158" s="1"/>
      <c r="JYF158" s="14"/>
      <c r="JYQ158" s="1"/>
      <c r="JYR158" s="1"/>
      <c r="JYS158" s="1"/>
      <c r="JYT158" s="1"/>
      <c r="JYU158" s="1"/>
      <c r="JYV158" s="14"/>
      <c r="JZG158" s="1"/>
      <c r="JZH158" s="1"/>
      <c r="JZI158" s="1"/>
      <c r="JZJ158" s="1"/>
      <c r="JZK158" s="1"/>
      <c r="JZL158" s="14"/>
      <c r="JZW158" s="1"/>
      <c r="JZX158" s="1"/>
      <c r="JZY158" s="1"/>
      <c r="JZZ158" s="1"/>
      <c r="KAA158" s="1"/>
      <c r="KAB158" s="14"/>
      <c r="KAM158" s="1"/>
      <c r="KAN158" s="1"/>
      <c r="KAO158" s="1"/>
      <c r="KAP158" s="1"/>
      <c r="KAQ158" s="1"/>
      <c r="KAR158" s="14"/>
      <c r="KBC158" s="1"/>
      <c r="KBD158" s="1"/>
      <c r="KBE158" s="1"/>
      <c r="KBF158" s="1"/>
      <c r="KBG158" s="1"/>
      <c r="KBH158" s="14"/>
      <c r="KBS158" s="1"/>
      <c r="KBT158" s="1"/>
      <c r="KBU158" s="1"/>
      <c r="KBV158" s="1"/>
      <c r="KBW158" s="1"/>
      <c r="KBX158" s="14"/>
      <c r="KCI158" s="1"/>
      <c r="KCJ158" s="1"/>
      <c r="KCK158" s="1"/>
      <c r="KCL158" s="1"/>
      <c r="KCM158" s="1"/>
      <c r="KCN158" s="14"/>
      <c r="KCY158" s="1"/>
      <c r="KCZ158" s="1"/>
      <c r="KDA158" s="1"/>
      <c r="KDB158" s="1"/>
      <c r="KDC158" s="1"/>
      <c r="KDD158" s="14"/>
      <c r="KDO158" s="1"/>
      <c r="KDP158" s="1"/>
      <c r="KDQ158" s="1"/>
      <c r="KDR158" s="1"/>
      <c r="KDS158" s="1"/>
      <c r="KDT158" s="14"/>
      <c r="KEE158" s="1"/>
      <c r="KEF158" s="1"/>
      <c r="KEG158" s="1"/>
      <c r="KEH158" s="1"/>
      <c r="KEI158" s="1"/>
      <c r="KEJ158" s="14"/>
      <c r="KEU158" s="1"/>
      <c r="KEV158" s="1"/>
      <c r="KEW158" s="1"/>
      <c r="KEX158" s="1"/>
      <c r="KEY158" s="1"/>
      <c r="KEZ158" s="14"/>
      <c r="KFK158" s="1"/>
      <c r="KFL158" s="1"/>
      <c r="KFM158" s="1"/>
      <c r="KFN158" s="1"/>
      <c r="KFO158" s="1"/>
      <c r="KFP158" s="14"/>
      <c r="KGA158" s="1"/>
      <c r="KGB158" s="1"/>
      <c r="KGC158" s="1"/>
      <c r="KGD158" s="1"/>
      <c r="KGE158" s="1"/>
      <c r="KGF158" s="14"/>
      <c r="KGQ158" s="1"/>
      <c r="KGR158" s="1"/>
      <c r="KGS158" s="1"/>
      <c r="KGT158" s="1"/>
      <c r="KGU158" s="1"/>
      <c r="KGV158" s="14"/>
      <c r="KHG158" s="1"/>
      <c r="KHH158" s="1"/>
      <c r="KHI158" s="1"/>
      <c r="KHJ158" s="1"/>
      <c r="KHK158" s="1"/>
      <c r="KHL158" s="14"/>
      <c r="KHW158" s="1"/>
      <c r="KHX158" s="1"/>
      <c r="KHY158" s="1"/>
      <c r="KHZ158" s="1"/>
      <c r="KIA158" s="1"/>
      <c r="KIB158" s="14"/>
      <c r="KIM158" s="1"/>
      <c r="KIN158" s="1"/>
      <c r="KIO158" s="1"/>
      <c r="KIP158" s="1"/>
      <c r="KIQ158" s="1"/>
      <c r="KIR158" s="14"/>
      <c r="KJC158" s="1"/>
      <c r="KJD158" s="1"/>
      <c r="KJE158" s="1"/>
      <c r="KJF158" s="1"/>
      <c r="KJG158" s="1"/>
      <c r="KJH158" s="14"/>
      <c r="KJS158" s="1"/>
      <c r="KJT158" s="1"/>
      <c r="KJU158" s="1"/>
      <c r="KJV158" s="1"/>
      <c r="KJW158" s="1"/>
      <c r="KJX158" s="14"/>
      <c r="KKI158" s="1"/>
      <c r="KKJ158" s="1"/>
      <c r="KKK158" s="1"/>
      <c r="KKL158" s="1"/>
      <c r="KKM158" s="1"/>
      <c r="KKN158" s="14"/>
      <c r="KKY158" s="1"/>
      <c r="KKZ158" s="1"/>
      <c r="KLA158" s="1"/>
      <c r="KLB158" s="1"/>
      <c r="KLC158" s="1"/>
      <c r="KLD158" s="14"/>
      <c r="KLO158" s="1"/>
      <c r="KLP158" s="1"/>
      <c r="KLQ158" s="1"/>
      <c r="KLR158" s="1"/>
      <c r="KLS158" s="1"/>
      <c r="KLT158" s="14"/>
      <c r="KME158" s="1"/>
      <c r="KMF158" s="1"/>
      <c r="KMG158" s="1"/>
      <c r="KMH158" s="1"/>
      <c r="KMI158" s="1"/>
      <c r="KMJ158" s="14"/>
      <c r="KMU158" s="1"/>
      <c r="KMV158" s="1"/>
      <c r="KMW158" s="1"/>
      <c r="KMX158" s="1"/>
      <c r="KMY158" s="1"/>
      <c r="KMZ158" s="14"/>
      <c r="KNK158" s="1"/>
      <c r="KNL158" s="1"/>
      <c r="KNM158" s="1"/>
      <c r="KNN158" s="1"/>
      <c r="KNO158" s="1"/>
      <c r="KNP158" s="14"/>
      <c r="KOA158" s="1"/>
      <c r="KOB158" s="1"/>
      <c r="KOC158" s="1"/>
      <c r="KOD158" s="1"/>
      <c r="KOE158" s="1"/>
      <c r="KOF158" s="14"/>
      <c r="KOQ158" s="1"/>
      <c r="KOR158" s="1"/>
      <c r="KOS158" s="1"/>
      <c r="KOT158" s="1"/>
      <c r="KOU158" s="1"/>
      <c r="KOV158" s="14"/>
      <c r="KPG158" s="1"/>
      <c r="KPH158" s="1"/>
      <c r="KPI158" s="1"/>
      <c r="KPJ158" s="1"/>
      <c r="KPK158" s="1"/>
      <c r="KPL158" s="14"/>
      <c r="KPW158" s="1"/>
      <c r="KPX158" s="1"/>
      <c r="KPY158" s="1"/>
      <c r="KPZ158" s="1"/>
      <c r="KQA158" s="1"/>
      <c r="KQB158" s="14"/>
      <c r="KQM158" s="1"/>
      <c r="KQN158" s="1"/>
      <c r="KQO158" s="1"/>
      <c r="KQP158" s="1"/>
      <c r="KQQ158" s="1"/>
      <c r="KQR158" s="14"/>
      <c r="KRC158" s="1"/>
      <c r="KRD158" s="1"/>
      <c r="KRE158" s="1"/>
      <c r="KRF158" s="1"/>
      <c r="KRG158" s="1"/>
      <c r="KRH158" s="14"/>
      <c r="KRS158" s="1"/>
      <c r="KRT158" s="1"/>
      <c r="KRU158" s="1"/>
      <c r="KRV158" s="1"/>
      <c r="KRW158" s="1"/>
      <c r="KRX158" s="14"/>
      <c r="KSI158" s="1"/>
      <c r="KSJ158" s="1"/>
      <c r="KSK158" s="1"/>
      <c r="KSL158" s="1"/>
      <c r="KSM158" s="1"/>
      <c r="KSN158" s="14"/>
      <c r="KSY158" s="1"/>
      <c r="KSZ158" s="1"/>
      <c r="KTA158" s="1"/>
      <c r="KTB158" s="1"/>
      <c r="KTC158" s="1"/>
      <c r="KTD158" s="14"/>
      <c r="KTO158" s="1"/>
      <c r="KTP158" s="1"/>
      <c r="KTQ158" s="1"/>
      <c r="KTR158" s="1"/>
      <c r="KTS158" s="1"/>
      <c r="KTT158" s="14"/>
      <c r="KUE158" s="1"/>
      <c r="KUF158" s="1"/>
      <c r="KUG158" s="1"/>
      <c r="KUH158" s="1"/>
      <c r="KUI158" s="1"/>
      <c r="KUJ158" s="14"/>
      <c r="KUU158" s="1"/>
      <c r="KUV158" s="1"/>
      <c r="KUW158" s="1"/>
      <c r="KUX158" s="1"/>
      <c r="KUY158" s="1"/>
      <c r="KUZ158" s="14"/>
      <c r="KVK158" s="1"/>
      <c r="KVL158" s="1"/>
      <c r="KVM158" s="1"/>
      <c r="KVN158" s="1"/>
      <c r="KVO158" s="1"/>
      <c r="KVP158" s="14"/>
      <c r="KWA158" s="1"/>
      <c r="KWB158" s="1"/>
      <c r="KWC158" s="1"/>
      <c r="KWD158" s="1"/>
      <c r="KWE158" s="1"/>
      <c r="KWF158" s="14"/>
      <c r="KWQ158" s="1"/>
      <c r="KWR158" s="1"/>
      <c r="KWS158" s="1"/>
      <c r="KWT158" s="1"/>
      <c r="KWU158" s="1"/>
      <c r="KWV158" s="14"/>
      <c r="KXG158" s="1"/>
      <c r="KXH158" s="1"/>
      <c r="KXI158" s="1"/>
      <c r="KXJ158" s="1"/>
      <c r="KXK158" s="1"/>
      <c r="KXL158" s="14"/>
      <c r="KXW158" s="1"/>
      <c r="KXX158" s="1"/>
      <c r="KXY158" s="1"/>
      <c r="KXZ158" s="1"/>
      <c r="KYA158" s="1"/>
      <c r="KYB158" s="14"/>
      <c r="KYM158" s="1"/>
      <c r="KYN158" s="1"/>
      <c r="KYO158" s="1"/>
      <c r="KYP158" s="1"/>
      <c r="KYQ158" s="1"/>
      <c r="KYR158" s="14"/>
      <c r="KZC158" s="1"/>
      <c r="KZD158" s="1"/>
      <c r="KZE158" s="1"/>
      <c r="KZF158" s="1"/>
      <c r="KZG158" s="1"/>
      <c r="KZH158" s="14"/>
      <c r="KZS158" s="1"/>
      <c r="KZT158" s="1"/>
      <c r="KZU158" s="1"/>
      <c r="KZV158" s="1"/>
      <c r="KZW158" s="1"/>
      <c r="KZX158" s="14"/>
      <c r="LAI158" s="1"/>
      <c r="LAJ158" s="1"/>
      <c r="LAK158" s="1"/>
      <c r="LAL158" s="1"/>
      <c r="LAM158" s="1"/>
      <c r="LAN158" s="14"/>
      <c r="LAY158" s="1"/>
      <c r="LAZ158" s="1"/>
      <c r="LBA158" s="1"/>
      <c r="LBB158" s="1"/>
      <c r="LBC158" s="1"/>
      <c r="LBD158" s="14"/>
      <c r="LBO158" s="1"/>
      <c r="LBP158" s="1"/>
      <c r="LBQ158" s="1"/>
      <c r="LBR158" s="1"/>
      <c r="LBS158" s="1"/>
      <c r="LBT158" s="14"/>
      <c r="LCE158" s="1"/>
      <c r="LCF158" s="1"/>
      <c r="LCG158" s="1"/>
      <c r="LCH158" s="1"/>
      <c r="LCI158" s="1"/>
      <c r="LCJ158" s="14"/>
      <c r="LCU158" s="1"/>
      <c r="LCV158" s="1"/>
      <c r="LCW158" s="1"/>
      <c r="LCX158" s="1"/>
      <c r="LCY158" s="1"/>
      <c r="LCZ158" s="14"/>
      <c r="LDK158" s="1"/>
      <c r="LDL158" s="1"/>
      <c r="LDM158" s="1"/>
      <c r="LDN158" s="1"/>
      <c r="LDO158" s="1"/>
      <c r="LDP158" s="14"/>
      <c r="LEA158" s="1"/>
      <c r="LEB158" s="1"/>
      <c r="LEC158" s="1"/>
      <c r="LED158" s="1"/>
      <c r="LEE158" s="1"/>
      <c r="LEF158" s="14"/>
      <c r="LEQ158" s="1"/>
      <c r="LER158" s="1"/>
      <c r="LES158" s="1"/>
      <c r="LET158" s="1"/>
      <c r="LEU158" s="1"/>
      <c r="LEV158" s="14"/>
      <c r="LFG158" s="1"/>
      <c r="LFH158" s="1"/>
      <c r="LFI158" s="1"/>
      <c r="LFJ158" s="1"/>
      <c r="LFK158" s="1"/>
      <c r="LFL158" s="14"/>
      <c r="LFW158" s="1"/>
      <c r="LFX158" s="1"/>
      <c r="LFY158" s="1"/>
      <c r="LFZ158" s="1"/>
      <c r="LGA158" s="1"/>
      <c r="LGB158" s="14"/>
      <c r="LGM158" s="1"/>
      <c r="LGN158" s="1"/>
      <c r="LGO158" s="1"/>
      <c r="LGP158" s="1"/>
      <c r="LGQ158" s="1"/>
      <c r="LGR158" s="14"/>
      <c r="LHC158" s="1"/>
      <c r="LHD158" s="1"/>
      <c r="LHE158" s="1"/>
      <c r="LHF158" s="1"/>
      <c r="LHG158" s="1"/>
      <c r="LHH158" s="14"/>
      <c r="LHS158" s="1"/>
      <c r="LHT158" s="1"/>
      <c r="LHU158" s="1"/>
      <c r="LHV158" s="1"/>
      <c r="LHW158" s="1"/>
      <c r="LHX158" s="14"/>
      <c r="LII158" s="1"/>
      <c r="LIJ158" s="1"/>
      <c r="LIK158" s="1"/>
      <c r="LIL158" s="1"/>
      <c r="LIM158" s="1"/>
      <c r="LIN158" s="14"/>
      <c r="LIY158" s="1"/>
      <c r="LIZ158" s="1"/>
      <c r="LJA158" s="1"/>
      <c r="LJB158" s="1"/>
      <c r="LJC158" s="1"/>
      <c r="LJD158" s="14"/>
      <c r="LJO158" s="1"/>
      <c r="LJP158" s="1"/>
      <c r="LJQ158" s="1"/>
      <c r="LJR158" s="1"/>
      <c r="LJS158" s="1"/>
      <c r="LJT158" s="14"/>
      <c r="LKE158" s="1"/>
      <c r="LKF158" s="1"/>
      <c r="LKG158" s="1"/>
      <c r="LKH158" s="1"/>
      <c r="LKI158" s="1"/>
      <c r="LKJ158" s="14"/>
      <c r="LKU158" s="1"/>
      <c r="LKV158" s="1"/>
      <c r="LKW158" s="1"/>
      <c r="LKX158" s="1"/>
      <c r="LKY158" s="1"/>
      <c r="LKZ158" s="14"/>
      <c r="LLK158" s="1"/>
      <c r="LLL158" s="1"/>
      <c r="LLM158" s="1"/>
      <c r="LLN158" s="1"/>
      <c r="LLO158" s="1"/>
      <c r="LLP158" s="14"/>
      <c r="LMA158" s="1"/>
      <c r="LMB158" s="1"/>
      <c r="LMC158" s="1"/>
      <c r="LMD158" s="1"/>
      <c r="LME158" s="1"/>
      <c r="LMF158" s="14"/>
      <c r="LMQ158" s="1"/>
      <c r="LMR158" s="1"/>
      <c r="LMS158" s="1"/>
      <c r="LMT158" s="1"/>
      <c r="LMU158" s="1"/>
      <c r="LMV158" s="14"/>
      <c r="LNG158" s="1"/>
      <c r="LNH158" s="1"/>
      <c r="LNI158" s="1"/>
      <c r="LNJ158" s="1"/>
      <c r="LNK158" s="1"/>
      <c r="LNL158" s="14"/>
      <c r="LNW158" s="1"/>
      <c r="LNX158" s="1"/>
      <c r="LNY158" s="1"/>
      <c r="LNZ158" s="1"/>
      <c r="LOA158" s="1"/>
      <c r="LOB158" s="14"/>
      <c r="LOM158" s="1"/>
      <c r="LON158" s="1"/>
      <c r="LOO158" s="1"/>
      <c r="LOP158" s="1"/>
      <c r="LOQ158" s="1"/>
      <c r="LOR158" s="14"/>
      <c r="LPC158" s="1"/>
      <c r="LPD158" s="1"/>
      <c r="LPE158" s="1"/>
      <c r="LPF158" s="1"/>
      <c r="LPG158" s="1"/>
      <c r="LPH158" s="14"/>
      <c r="LPS158" s="1"/>
      <c r="LPT158" s="1"/>
      <c r="LPU158" s="1"/>
      <c r="LPV158" s="1"/>
      <c r="LPW158" s="1"/>
      <c r="LPX158" s="14"/>
      <c r="LQI158" s="1"/>
      <c r="LQJ158" s="1"/>
      <c r="LQK158" s="1"/>
      <c r="LQL158" s="1"/>
      <c r="LQM158" s="1"/>
      <c r="LQN158" s="14"/>
      <c r="LQY158" s="1"/>
      <c r="LQZ158" s="1"/>
      <c r="LRA158" s="1"/>
      <c r="LRB158" s="1"/>
      <c r="LRC158" s="1"/>
      <c r="LRD158" s="14"/>
      <c r="LRO158" s="1"/>
      <c r="LRP158" s="1"/>
      <c r="LRQ158" s="1"/>
      <c r="LRR158" s="1"/>
      <c r="LRS158" s="1"/>
      <c r="LRT158" s="14"/>
      <c r="LSE158" s="1"/>
      <c r="LSF158" s="1"/>
      <c r="LSG158" s="1"/>
      <c r="LSH158" s="1"/>
      <c r="LSI158" s="1"/>
      <c r="LSJ158" s="14"/>
      <c r="LSU158" s="1"/>
      <c r="LSV158" s="1"/>
      <c r="LSW158" s="1"/>
      <c r="LSX158" s="1"/>
      <c r="LSY158" s="1"/>
      <c r="LSZ158" s="14"/>
      <c r="LTK158" s="1"/>
      <c r="LTL158" s="1"/>
      <c r="LTM158" s="1"/>
      <c r="LTN158" s="1"/>
      <c r="LTO158" s="1"/>
      <c r="LTP158" s="14"/>
      <c r="LUA158" s="1"/>
      <c r="LUB158" s="1"/>
      <c r="LUC158" s="1"/>
      <c r="LUD158" s="1"/>
      <c r="LUE158" s="1"/>
      <c r="LUF158" s="14"/>
      <c r="LUQ158" s="1"/>
      <c r="LUR158" s="1"/>
      <c r="LUS158" s="1"/>
      <c r="LUT158" s="1"/>
      <c r="LUU158" s="1"/>
      <c r="LUV158" s="14"/>
      <c r="LVG158" s="1"/>
      <c r="LVH158" s="1"/>
      <c r="LVI158" s="1"/>
      <c r="LVJ158" s="1"/>
      <c r="LVK158" s="1"/>
      <c r="LVL158" s="14"/>
      <c r="LVW158" s="1"/>
      <c r="LVX158" s="1"/>
      <c r="LVY158" s="1"/>
      <c r="LVZ158" s="1"/>
      <c r="LWA158" s="1"/>
      <c r="LWB158" s="14"/>
      <c r="LWM158" s="1"/>
      <c r="LWN158" s="1"/>
      <c r="LWO158" s="1"/>
      <c r="LWP158" s="1"/>
      <c r="LWQ158" s="1"/>
      <c r="LWR158" s="14"/>
      <c r="LXC158" s="1"/>
      <c r="LXD158" s="1"/>
      <c r="LXE158" s="1"/>
      <c r="LXF158" s="1"/>
      <c r="LXG158" s="1"/>
      <c r="LXH158" s="14"/>
      <c r="LXS158" s="1"/>
      <c r="LXT158" s="1"/>
      <c r="LXU158" s="1"/>
      <c r="LXV158" s="1"/>
      <c r="LXW158" s="1"/>
      <c r="LXX158" s="14"/>
      <c r="LYI158" s="1"/>
      <c r="LYJ158" s="1"/>
      <c r="LYK158" s="1"/>
      <c r="LYL158" s="1"/>
      <c r="LYM158" s="1"/>
      <c r="LYN158" s="14"/>
      <c r="LYY158" s="1"/>
      <c r="LYZ158" s="1"/>
      <c r="LZA158" s="1"/>
      <c r="LZB158" s="1"/>
      <c r="LZC158" s="1"/>
      <c r="LZD158" s="14"/>
      <c r="LZO158" s="1"/>
      <c r="LZP158" s="1"/>
      <c r="LZQ158" s="1"/>
      <c r="LZR158" s="1"/>
      <c r="LZS158" s="1"/>
      <c r="LZT158" s="14"/>
      <c r="MAE158" s="1"/>
      <c r="MAF158" s="1"/>
      <c r="MAG158" s="1"/>
      <c r="MAH158" s="1"/>
      <c r="MAI158" s="1"/>
      <c r="MAJ158" s="14"/>
      <c r="MAU158" s="1"/>
      <c r="MAV158" s="1"/>
      <c r="MAW158" s="1"/>
      <c r="MAX158" s="1"/>
      <c r="MAY158" s="1"/>
      <c r="MAZ158" s="14"/>
      <c r="MBK158" s="1"/>
      <c r="MBL158" s="1"/>
      <c r="MBM158" s="1"/>
      <c r="MBN158" s="1"/>
      <c r="MBO158" s="1"/>
      <c r="MBP158" s="14"/>
      <c r="MCA158" s="1"/>
      <c r="MCB158" s="1"/>
      <c r="MCC158" s="1"/>
      <c r="MCD158" s="1"/>
      <c r="MCE158" s="1"/>
      <c r="MCF158" s="14"/>
      <c r="MCQ158" s="1"/>
      <c r="MCR158" s="1"/>
      <c r="MCS158" s="1"/>
      <c r="MCT158" s="1"/>
      <c r="MCU158" s="1"/>
      <c r="MCV158" s="14"/>
      <c r="MDG158" s="1"/>
      <c r="MDH158" s="1"/>
      <c r="MDI158" s="1"/>
      <c r="MDJ158" s="1"/>
      <c r="MDK158" s="1"/>
      <c r="MDL158" s="14"/>
      <c r="MDW158" s="1"/>
      <c r="MDX158" s="1"/>
      <c r="MDY158" s="1"/>
      <c r="MDZ158" s="1"/>
      <c r="MEA158" s="1"/>
      <c r="MEB158" s="14"/>
      <c r="MEM158" s="1"/>
      <c r="MEN158" s="1"/>
      <c r="MEO158" s="1"/>
      <c r="MEP158" s="1"/>
      <c r="MEQ158" s="1"/>
      <c r="MER158" s="14"/>
      <c r="MFC158" s="1"/>
      <c r="MFD158" s="1"/>
      <c r="MFE158" s="1"/>
      <c r="MFF158" s="1"/>
      <c r="MFG158" s="1"/>
      <c r="MFH158" s="14"/>
      <c r="MFS158" s="1"/>
      <c r="MFT158" s="1"/>
      <c r="MFU158" s="1"/>
      <c r="MFV158" s="1"/>
      <c r="MFW158" s="1"/>
      <c r="MFX158" s="14"/>
      <c r="MGI158" s="1"/>
      <c r="MGJ158" s="1"/>
      <c r="MGK158" s="1"/>
      <c r="MGL158" s="1"/>
      <c r="MGM158" s="1"/>
      <c r="MGN158" s="14"/>
      <c r="MGY158" s="1"/>
      <c r="MGZ158" s="1"/>
      <c r="MHA158" s="1"/>
      <c r="MHB158" s="1"/>
      <c r="MHC158" s="1"/>
      <c r="MHD158" s="14"/>
      <c r="MHO158" s="1"/>
      <c r="MHP158" s="1"/>
      <c r="MHQ158" s="1"/>
      <c r="MHR158" s="1"/>
      <c r="MHS158" s="1"/>
      <c r="MHT158" s="14"/>
      <c r="MIE158" s="1"/>
      <c r="MIF158" s="1"/>
      <c r="MIG158" s="1"/>
      <c r="MIH158" s="1"/>
      <c r="MII158" s="1"/>
      <c r="MIJ158" s="14"/>
      <c r="MIU158" s="1"/>
      <c r="MIV158" s="1"/>
      <c r="MIW158" s="1"/>
      <c r="MIX158" s="1"/>
      <c r="MIY158" s="1"/>
      <c r="MIZ158" s="14"/>
      <c r="MJK158" s="1"/>
      <c r="MJL158" s="1"/>
      <c r="MJM158" s="1"/>
      <c r="MJN158" s="1"/>
      <c r="MJO158" s="1"/>
      <c r="MJP158" s="14"/>
      <c r="MKA158" s="1"/>
      <c r="MKB158" s="1"/>
      <c r="MKC158" s="1"/>
      <c r="MKD158" s="1"/>
      <c r="MKE158" s="1"/>
      <c r="MKF158" s="14"/>
      <c r="MKQ158" s="1"/>
      <c r="MKR158" s="1"/>
      <c r="MKS158" s="1"/>
      <c r="MKT158" s="1"/>
      <c r="MKU158" s="1"/>
      <c r="MKV158" s="14"/>
      <c r="MLG158" s="1"/>
      <c r="MLH158" s="1"/>
      <c r="MLI158" s="1"/>
      <c r="MLJ158" s="1"/>
      <c r="MLK158" s="1"/>
      <c r="MLL158" s="14"/>
      <c r="MLW158" s="1"/>
      <c r="MLX158" s="1"/>
      <c r="MLY158" s="1"/>
      <c r="MLZ158" s="1"/>
      <c r="MMA158" s="1"/>
      <c r="MMB158" s="14"/>
      <c r="MMM158" s="1"/>
      <c r="MMN158" s="1"/>
      <c r="MMO158" s="1"/>
      <c r="MMP158" s="1"/>
      <c r="MMQ158" s="1"/>
      <c r="MMR158" s="14"/>
      <c r="MNC158" s="1"/>
      <c r="MND158" s="1"/>
      <c r="MNE158" s="1"/>
      <c r="MNF158" s="1"/>
      <c r="MNG158" s="1"/>
      <c r="MNH158" s="14"/>
      <c r="MNS158" s="1"/>
      <c r="MNT158" s="1"/>
      <c r="MNU158" s="1"/>
      <c r="MNV158" s="1"/>
      <c r="MNW158" s="1"/>
      <c r="MNX158" s="14"/>
      <c r="MOI158" s="1"/>
      <c r="MOJ158" s="1"/>
      <c r="MOK158" s="1"/>
      <c r="MOL158" s="1"/>
      <c r="MOM158" s="1"/>
      <c r="MON158" s="14"/>
      <c r="MOY158" s="1"/>
      <c r="MOZ158" s="1"/>
      <c r="MPA158" s="1"/>
      <c r="MPB158" s="1"/>
      <c r="MPC158" s="1"/>
      <c r="MPD158" s="14"/>
      <c r="MPO158" s="1"/>
      <c r="MPP158" s="1"/>
      <c r="MPQ158" s="1"/>
      <c r="MPR158" s="1"/>
      <c r="MPS158" s="1"/>
      <c r="MPT158" s="14"/>
      <c r="MQE158" s="1"/>
      <c r="MQF158" s="1"/>
      <c r="MQG158" s="1"/>
      <c r="MQH158" s="1"/>
      <c r="MQI158" s="1"/>
      <c r="MQJ158" s="14"/>
      <c r="MQU158" s="1"/>
      <c r="MQV158" s="1"/>
      <c r="MQW158" s="1"/>
      <c r="MQX158" s="1"/>
      <c r="MQY158" s="1"/>
      <c r="MQZ158" s="14"/>
      <c r="MRK158" s="1"/>
      <c r="MRL158" s="1"/>
      <c r="MRM158" s="1"/>
      <c r="MRN158" s="1"/>
      <c r="MRO158" s="1"/>
      <c r="MRP158" s="14"/>
      <c r="MSA158" s="1"/>
      <c r="MSB158" s="1"/>
      <c r="MSC158" s="1"/>
      <c r="MSD158" s="1"/>
      <c r="MSE158" s="1"/>
      <c r="MSF158" s="14"/>
      <c r="MSQ158" s="1"/>
      <c r="MSR158" s="1"/>
      <c r="MSS158" s="1"/>
      <c r="MST158" s="1"/>
      <c r="MSU158" s="1"/>
      <c r="MSV158" s="14"/>
      <c r="MTG158" s="1"/>
      <c r="MTH158" s="1"/>
      <c r="MTI158" s="1"/>
      <c r="MTJ158" s="1"/>
      <c r="MTK158" s="1"/>
      <c r="MTL158" s="14"/>
      <c r="MTW158" s="1"/>
      <c r="MTX158" s="1"/>
      <c r="MTY158" s="1"/>
      <c r="MTZ158" s="1"/>
      <c r="MUA158" s="1"/>
      <c r="MUB158" s="14"/>
      <c r="MUM158" s="1"/>
      <c r="MUN158" s="1"/>
      <c r="MUO158" s="1"/>
      <c r="MUP158" s="1"/>
      <c r="MUQ158" s="1"/>
      <c r="MUR158" s="14"/>
      <c r="MVC158" s="1"/>
      <c r="MVD158" s="1"/>
      <c r="MVE158" s="1"/>
      <c r="MVF158" s="1"/>
      <c r="MVG158" s="1"/>
      <c r="MVH158" s="14"/>
      <c r="MVS158" s="1"/>
      <c r="MVT158" s="1"/>
      <c r="MVU158" s="1"/>
      <c r="MVV158" s="1"/>
      <c r="MVW158" s="1"/>
      <c r="MVX158" s="14"/>
      <c r="MWI158" s="1"/>
      <c r="MWJ158" s="1"/>
      <c r="MWK158" s="1"/>
      <c r="MWL158" s="1"/>
      <c r="MWM158" s="1"/>
      <c r="MWN158" s="14"/>
      <c r="MWY158" s="1"/>
      <c r="MWZ158" s="1"/>
      <c r="MXA158" s="1"/>
      <c r="MXB158" s="1"/>
      <c r="MXC158" s="1"/>
      <c r="MXD158" s="14"/>
      <c r="MXO158" s="1"/>
      <c r="MXP158" s="1"/>
      <c r="MXQ158" s="1"/>
      <c r="MXR158" s="1"/>
      <c r="MXS158" s="1"/>
      <c r="MXT158" s="14"/>
      <c r="MYE158" s="1"/>
      <c r="MYF158" s="1"/>
      <c r="MYG158" s="1"/>
      <c r="MYH158" s="1"/>
      <c r="MYI158" s="1"/>
      <c r="MYJ158" s="14"/>
      <c r="MYU158" s="1"/>
      <c r="MYV158" s="1"/>
      <c r="MYW158" s="1"/>
      <c r="MYX158" s="1"/>
      <c r="MYY158" s="1"/>
      <c r="MYZ158" s="14"/>
      <c r="MZK158" s="1"/>
      <c r="MZL158" s="1"/>
      <c r="MZM158" s="1"/>
      <c r="MZN158" s="1"/>
      <c r="MZO158" s="1"/>
      <c r="MZP158" s="14"/>
      <c r="NAA158" s="1"/>
      <c r="NAB158" s="1"/>
      <c r="NAC158" s="1"/>
      <c r="NAD158" s="1"/>
      <c r="NAE158" s="1"/>
      <c r="NAF158" s="14"/>
      <c r="NAQ158" s="1"/>
      <c r="NAR158" s="1"/>
      <c r="NAS158" s="1"/>
      <c r="NAT158" s="1"/>
      <c r="NAU158" s="1"/>
      <c r="NAV158" s="14"/>
      <c r="NBG158" s="1"/>
      <c r="NBH158" s="1"/>
      <c r="NBI158" s="1"/>
      <c r="NBJ158" s="1"/>
      <c r="NBK158" s="1"/>
      <c r="NBL158" s="14"/>
      <c r="NBW158" s="1"/>
      <c r="NBX158" s="1"/>
      <c r="NBY158" s="1"/>
      <c r="NBZ158" s="1"/>
      <c r="NCA158" s="1"/>
      <c r="NCB158" s="14"/>
      <c r="NCM158" s="1"/>
      <c r="NCN158" s="1"/>
      <c r="NCO158" s="1"/>
      <c r="NCP158" s="1"/>
      <c r="NCQ158" s="1"/>
      <c r="NCR158" s="14"/>
      <c r="NDC158" s="1"/>
      <c r="NDD158" s="1"/>
      <c r="NDE158" s="1"/>
      <c r="NDF158" s="1"/>
      <c r="NDG158" s="1"/>
      <c r="NDH158" s="14"/>
      <c r="NDS158" s="1"/>
      <c r="NDT158" s="1"/>
      <c r="NDU158" s="1"/>
      <c r="NDV158" s="1"/>
      <c r="NDW158" s="1"/>
      <c r="NDX158" s="14"/>
      <c r="NEI158" s="1"/>
      <c r="NEJ158" s="1"/>
      <c r="NEK158" s="1"/>
      <c r="NEL158" s="1"/>
      <c r="NEM158" s="1"/>
      <c r="NEN158" s="14"/>
      <c r="NEY158" s="1"/>
      <c r="NEZ158" s="1"/>
      <c r="NFA158" s="1"/>
      <c r="NFB158" s="1"/>
      <c r="NFC158" s="1"/>
      <c r="NFD158" s="14"/>
      <c r="NFO158" s="1"/>
      <c r="NFP158" s="1"/>
      <c r="NFQ158" s="1"/>
      <c r="NFR158" s="1"/>
      <c r="NFS158" s="1"/>
      <c r="NFT158" s="14"/>
      <c r="NGE158" s="1"/>
      <c r="NGF158" s="1"/>
      <c r="NGG158" s="1"/>
      <c r="NGH158" s="1"/>
      <c r="NGI158" s="1"/>
      <c r="NGJ158" s="14"/>
      <c r="NGU158" s="1"/>
      <c r="NGV158" s="1"/>
      <c r="NGW158" s="1"/>
      <c r="NGX158" s="1"/>
      <c r="NGY158" s="1"/>
      <c r="NGZ158" s="14"/>
      <c r="NHK158" s="1"/>
      <c r="NHL158" s="1"/>
      <c r="NHM158" s="1"/>
      <c r="NHN158" s="1"/>
      <c r="NHO158" s="1"/>
      <c r="NHP158" s="14"/>
      <c r="NIA158" s="1"/>
      <c r="NIB158" s="1"/>
      <c r="NIC158" s="1"/>
      <c r="NID158" s="1"/>
      <c r="NIE158" s="1"/>
      <c r="NIF158" s="14"/>
      <c r="NIQ158" s="1"/>
      <c r="NIR158" s="1"/>
      <c r="NIS158" s="1"/>
      <c r="NIT158" s="1"/>
      <c r="NIU158" s="1"/>
      <c r="NIV158" s="14"/>
      <c r="NJG158" s="1"/>
      <c r="NJH158" s="1"/>
      <c r="NJI158" s="1"/>
      <c r="NJJ158" s="1"/>
      <c r="NJK158" s="1"/>
      <c r="NJL158" s="14"/>
      <c r="NJW158" s="1"/>
      <c r="NJX158" s="1"/>
      <c r="NJY158" s="1"/>
      <c r="NJZ158" s="1"/>
      <c r="NKA158" s="1"/>
      <c r="NKB158" s="14"/>
      <c r="NKM158" s="1"/>
      <c r="NKN158" s="1"/>
      <c r="NKO158" s="1"/>
      <c r="NKP158" s="1"/>
      <c r="NKQ158" s="1"/>
      <c r="NKR158" s="14"/>
      <c r="NLC158" s="1"/>
      <c r="NLD158" s="1"/>
      <c r="NLE158" s="1"/>
      <c r="NLF158" s="1"/>
      <c r="NLG158" s="1"/>
      <c r="NLH158" s="14"/>
      <c r="NLS158" s="1"/>
      <c r="NLT158" s="1"/>
      <c r="NLU158" s="1"/>
      <c r="NLV158" s="1"/>
      <c r="NLW158" s="1"/>
      <c r="NLX158" s="14"/>
      <c r="NMI158" s="1"/>
      <c r="NMJ158" s="1"/>
      <c r="NMK158" s="1"/>
      <c r="NML158" s="1"/>
      <c r="NMM158" s="1"/>
      <c r="NMN158" s="14"/>
      <c r="NMY158" s="1"/>
      <c r="NMZ158" s="1"/>
      <c r="NNA158" s="1"/>
      <c r="NNB158" s="1"/>
      <c r="NNC158" s="1"/>
      <c r="NND158" s="14"/>
      <c r="NNO158" s="1"/>
      <c r="NNP158" s="1"/>
      <c r="NNQ158" s="1"/>
      <c r="NNR158" s="1"/>
      <c r="NNS158" s="1"/>
      <c r="NNT158" s="14"/>
      <c r="NOE158" s="1"/>
      <c r="NOF158" s="1"/>
      <c r="NOG158" s="1"/>
      <c r="NOH158" s="1"/>
      <c r="NOI158" s="1"/>
      <c r="NOJ158" s="14"/>
      <c r="NOU158" s="1"/>
      <c r="NOV158" s="1"/>
      <c r="NOW158" s="1"/>
      <c r="NOX158" s="1"/>
      <c r="NOY158" s="1"/>
      <c r="NOZ158" s="14"/>
      <c r="NPK158" s="1"/>
      <c r="NPL158" s="1"/>
      <c r="NPM158" s="1"/>
      <c r="NPN158" s="1"/>
      <c r="NPO158" s="1"/>
      <c r="NPP158" s="14"/>
      <c r="NQA158" s="1"/>
      <c r="NQB158" s="1"/>
      <c r="NQC158" s="1"/>
      <c r="NQD158" s="1"/>
      <c r="NQE158" s="1"/>
      <c r="NQF158" s="14"/>
      <c r="NQQ158" s="1"/>
      <c r="NQR158" s="1"/>
      <c r="NQS158" s="1"/>
      <c r="NQT158" s="1"/>
      <c r="NQU158" s="1"/>
      <c r="NQV158" s="14"/>
      <c r="NRG158" s="1"/>
      <c r="NRH158" s="1"/>
      <c r="NRI158" s="1"/>
      <c r="NRJ158" s="1"/>
      <c r="NRK158" s="1"/>
      <c r="NRL158" s="14"/>
      <c r="NRW158" s="1"/>
      <c r="NRX158" s="1"/>
      <c r="NRY158" s="1"/>
      <c r="NRZ158" s="1"/>
      <c r="NSA158" s="1"/>
      <c r="NSB158" s="14"/>
      <c r="NSM158" s="1"/>
      <c r="NSN158" s="1"/>
      <c r="NSO158" s="1"/>
      <c r="NSP158" s="1"/>
      <c r="NSQ158" s="1"/>
      <c r="NSR158" s="14"/>
      <c r="NTC158" s="1"/>
      <c r="NTD158" s="1"/>
      <c r="NTE158" s="1"/>
      <c r="NTF158" s="1"/>
      <c r="NTG158" s="1"/>
      <c r="NTH158" s="14"/>
      <c r="NTS158" s="1"/>
      <c r="NTT158" s="1"/>
      <c r="NTU158" s="1"/>
      <c r="NTV158" s="1"/>
      <c r="NTW158" s="1"/>
      <c r="NTX158" s="14"/>
      <c r="NUI158" s="1"/>
      <c r="NUJ158" s="1"/>
      <c r="NUK158" s="1"/>
      <c r="NUL158" s="1"/>
      <c r="NUM158" s="1"/>
      <c r="NUN158" s="14"/>
      <c r="NUY158" s="1"/>
      <c r="NUZ158" s="1"/>
      <c r="NVA158" s="1"/>
      <c r="NVB158" s="1"/>
      <c r="NVC158" s="1"/>
      <c r="NVD158" s="14"/>
      <c r="NVO158" s="1"/>
      <c r="NVP158" s="1"/>
      <c r="NVQ158" s="1"/>
      <c r="NVR158" s="1"/>
      <c r="NVS158" s="1"/>
      <c r="NVT158" s="14"/>
      <c r="NWE158" s="1"/>
      <c r="NWF158" s="1"/>
      <c r="NWG158" s="1"/>
      <c r="NWH158" s="1"/>
      <c r="NWI158" s="1"/>
      <c r="NWJ158" s="14"/>
      <c r="NWU158" s="1"/>
      <c r="NWV158" s="1"/>
      <c r="NWW158" s="1"/>
      <c r="NWX158" s="1"/>
      <c r="NWY158" s="1"/>
      <c r="NWZ158" s="14"/>
      <c r="NXK158" s="1"/>
      <c r="NXL158" s="1"/>
      <c r="NXM158" s="1"/>
      <c r="NXN158" s="1"/>
      <c r="NXO158" s="1"/>
      <c r="NXP158" s="14"/>
      <c r="NYA158" s="1"/>
      <c r="NYB158" s="1"/>
      <c r="NYC158" s="1"/>
      <c r="NYD158" s="1"/>
      <c r="NYE158" s="1"/>
      <c r="NYF158" s="14"/>
      <c r="NYQ158" s="1"/>
      <c r="NYR158" s="1"/>
      <c r="NYS158" s="1"/>
      <c r="NYT158" s="1"/>
      <c r="NYU158" s="1"/>
      <c r="NYV158" s="14"/>
      <c r="NZG158" s="1"/>
      <c r="NZH158" s="1"/>
      <c r="NZI158" s="1"/>
      <c r="NZJ158" s="1"/>
      <c r="NZK158" s="1"/>
      <c r="NZL158" s="14"/>
      <c r="NZW158" s="1"/>
      <c r="NZX158" s="1"/>
      <c r="NZY158" s="1"/>
      <c r="NZZ158" s="1"/>
      <c r="OAA158" s="1"/>
      <c r="OAB158" s="14"/>
      <c r="OAM158" s="1"/>
      <c r="OAN158" s="1"/>
      <c r="OAO158" s="1"/>
      <c r="OAP158" s="1"/>
      <c r="OAQ158" s="1"/>
      <c r="OAR158" s="14"/>
      <c r="OBC158" s="1"/>
      <c r="OBD158" s="1"/>
      <c r="OBE158" s="1"/>
      <c r="OBF158" s="1"/>
      <c r="OBG158" s="1"/>
      <c r="OBH158" s="14"/>
      <c r="OBS158" s="1"/>
      <c r="OBT158" s="1"/>
      <c r="OBU158" s="1"/>
      <c r="OBV158" s="1"/>
      <c r="OBW158" s="1"/>
      <c r="OBX158" s="14"/>
      <c r="OCI158" s="1"/>
      <c r="OCJ158" s="1"/>
      <c r="OCK158" s="1"/>
      <c r="OCL158" s="1"/>
      <c r="OCM158" s="1"/>
      <c r="OCN158" s="14"/>
      <c r="OCY158" s="1"/>
      <c r="OCZ158" s="1"/>
      <c r="ODA158" s="1"/>
      <c r="ODB158" s="1"/>
      <c r="ODC158" s="1"/>
      <c r="ODD158" s="14"/>
      <c r="ODO158" s="1"/>
      <c r="ODP158" s="1"/>
      <c r="ODQ158" s="1"/>
      <c r="ODR158" s="1"/>
      <c r="ODS158" s="1"/>
      <c r="ODT158" s="14"/>
      <c r="OEE158" s="1"/>
      <c r="OEF158" s="1"/>
      <c r="OEG158" s="1"/>
      <c r="OEH158" s="1"/>
      <c r="OEI158" s="1"/>
      <c r="OEJ158" s="14"/>
      <c r="OEU158" s="1"/>
      <c r="OEV158" s="1"/>
      <c r="OEW158" s="1"/>
      <c r="OEX158" s="1"/>
      <c r="OEY158" s="1"/>
      <c r="OEZ158" s="14"/>
      <c r="OFK158" s="1"/>
      <c r="OFL158" s="1"/>
      <c r="OFM158" s="1"/>
      <c r="OFN158" s="1"/>
      <c r="OFO158" s="1"/>
      <c r="OFP158" s="14"/>
      <c r="OGA158" s="1"/>
      <c r="OGB158" s="1"/>
      <c r="OGC158" s="1"/>
      <c r="OGD158" s="1"/>
      <c r="OGE158" s="1"/>
      <c r="OGF158" s="14"/>
      <c r="OGQ158" s="1"/>
      <c r="OGR158" s="1"/>
      <c r="OGS158" s="1"/>
      <c r="OGT158" s="1"/>
      <c r="OGU158" s="1"/>
      <c r="OGV158" s="14"/>
      <c r="OHG158" s="1"/>
      <c r="OHH158" s="1"/>
      <c r="OHI158" s="1"/>
      <c r="OHJ158" s="1"/>
      <c r="OHK158" s="1"/>
      <c r="OHL158" s="14"/>
      <c r="OHW158" s="1"/>
      <c r="OHX158" s="1"/>
      <c r="OHY158" s="1"/>
      <c r="OHZ158" s="1"/>
      <c r="OIA158" s="1"/>
      <c r="OIB158" s="14"/>
      <c r="OIM158" s="1"/>
      <c r="OIN158" s="1"/>
      <c r="OIO158" s="1"/>
      <c r="OIP158" s="1"/>
      <c r="OIQ158" s="1"/>
      <c r="OIR158" s="14"/>
      <c r="OJC158" s="1"/>
      <c r="OJD158" s="1"/>
      <c r="OJE158" s="1"/>
      <c r="OJF158" s="1"/>
      <c r="OJG158" s="1"/>
      <c r="OJH158" s="14"/>
      <c r="OJS158" s="1"/>
      <c r="OJT158" s="1"/>
      <c r="OJU158" s="1"/>
      <c r="OJV158" s="1"/>
      <c r="OJW158" s="1"/>
      <c r="OJX158" s="14"/>
      <c r="OKI158" s="1"/>
      <c r="OKJ158" s="1"/>
      <c r="OKK158" s="1"/>
      <c r="OKL158" s="1"/>
      <c r="OKM158" s="1"/>
      <c r="OKN158" s="14"/>
      <c r="OKY158" s="1"/>
      <c r="OKZ158" s="1"/>
      <c r="OLA158" s="1"/>
      <c r="OLB158" s="1"/>
      <c r="OLC158" s="1"/>
      <c r="OLD158" s="14"/>
      <c r="OLO158" s="1"/>
      <c r="OLP158" s="1"/>
      <c r="OLQ158" s="1"/>
      <c r="OLR158" s="1"/>
      <c r="OLS158" s="1"/>
      <c r="OLT158" s="14"/>
      <c r="OME158" s="1"/>
      <c r="OMF158" s="1"/>
      <c r="OMG158" s="1"/>
      <c r="OMH158" s="1"/>
      <c r="OMI158" s="1"/>
      <c r="OMJ158" s="14"/>
      <c r="OMU158" s="1"/>
      <c r="OMV158" s="1"/>
      <c r="OMW158" s="1"/>
      <c r="OMX158" s="1"/>
      <c r="OMY158" s="1"/>
      <c r="OMZ158" s="14"/>
      <c r="ONK158" s="1"/>
      <c r="ONL158" s="1"/>
      <c r="ONM158" s="1"/>
      <c r="ONN158" s="1"/>
      <c r="ONO158" s="1"/>
      <c r="ONP158" s="14"/>
      <c r="OOA158" s="1"/>
      <c r="OOB158" s="1"/>
      <c r="OOC158" s="1"/>
      <c r="OOD158" s="1"/>
      <c r="OOE158" s="1"/>
      <c r="OOF158" s="14"/>
      <c r="OOQ158" s="1"/>
      <c r="OOR158" s="1"/>
      <c r="OOS158" s="1"/>
      <c r="OOT158" s="1"/>
      <c r="OOU158" s="1"/>
      <c r="OOV158" s="14"/>
      <c r="OPG158" s="1"/>
      <c r="OPH158" s="1"/>
      <c r="OPI158" s="1"/>
      <c r="OPJ158" s="1"/>
      <c r="OPK158" s="1"/>
      <c r="OPL158" s="14"/>
      <c r="OPW158" s="1"/>
      <c r="OPX158" s="1"/>
      <c r="OPY158" s="1"/>
      <c r="OPZ158" s="1"/>
      <c r="OQA158" s="1"/>
      <c r="OQB158" s="14"/>
      <c r="OQM158" s="1"/>
      <c r="OQN158" s="1"/>
      <c r="OQO158" s="1"/>
      <c r="OQP158" s="1"/>
      <c r="OQQ158" s="1"/>
      <c r="OQR158" s="14"/>
      <c r="ORC158" s="1"/>
      <c r="ORD158" s="1"/>
      <c r="ORE158" s="1"/>
      <c r="ORF158" s="1"/>
      <c r="ORG158" s="1"/>
      <c r="ORH158" s="14"/>
      <c r="ORS158" s="1"/>
      <c r="ORT158" s="1"/>
      <c r="ORU158" s="1"/>
      <c r="ORV158" s="1"/>
      <c r="ORW158" s="1"/>
      <c r="ORX158" s="14"/>
      <c r="OSI158" s="1"/>
      <c r="OSJ158" s="1"/>
      <c r="OSK158" s="1"/>
      <c r="OSL158" s="1"/>
      <c r="OSM158" s="1"/>
      <c r="OSN158" s="14"/>
      <c r="OSY158" s="1"/>
      <c r="OSZ158" s="1"/>
      <c r="OTA158" s="1"/>
      <c r="OTB158" s="1"/>
      <c r="OTC158" s="1"/>
      <c r="OTD158" s="14"/>
      <c r="OTO158" s="1"/>
      <c r="OTP158" s="1"/>
      <c r="OTQ158" s="1"/>
      <c r="OTR158" s="1"/>
      <c r="OTS158" s="1"/>
      <c r="OTT158" s="14"/>
      <c r="OUE158" s="1"/>
      <c r="OUF158" s="1"/>
      <c r="OUG158" s="1"/>
      <c r="OUH158" s="1"/>
      <c r="OUI158" s="1"/>
      <c r="OUJ158" s="14"/>
      <c r="OUU158" s="1"/>
      <c r="OUV158" s="1"/>
      <c r="OUW158" s="1"/>
      <c r="OUX158" s="1"/>
      <c r="OUY158" s="1"/>
      <c r="OUZ158" s="14"/>
      <c r="OVK158" s="1"/>
      <c r="OVL158" s="1"/>
      <c r="OVM158" s="1"/>
      <c r="OVN158" s="1"/>
      <c r="OVO158" s="1"/>
      <c r="OVP158" s="14"/>
      <c r="OWA158" s="1"/>
      <c r="OWB158" s="1"/>
      <c r="OWC158" s="1"/>
      <c r="OWD158" s="1"/>
      <c r="OWE158" s="1"/>
      <c r="OWF158" s="14"/>
      <c r="OWQ158" s="1"/>
      <c r="OWR158" s="1"/>
      <c r="OWS158" s="1"/>
      <c r="OWT158" s="1"/>
      <c r="OWU158" s="1"/>
      <c r="OWV158" s="14"/>
      <c r="OXG158" s="1"/>
      <c r="OXH158" s="1"/>
      <c r="OXI158" s="1"/>
      <c r="OXJ158" s="1"/>
      <c r="OXK158" s="1"/>
      <c r="OXL158" s="14"/>
      <c r="OXW158" s="1"/>
      <c r="OXX158" s="1"/>
      <c r="OXY158" s="1"/>
      <c r="OXZ158" s="1"/>
      <c r="OYA158" s="1"/>
      <c r="OYB158" s="14"/>
      <c r="OYM158" s="1"/>
      <c r="OYN158" s="1"/>
      <c r="OYO158" s="1"/>
      <c r="OYP158" s="1"/>
      <c r="OYQ158" s="1"/>
      <c r="OYR158" s="14"/>
      <c r="OZC158" s="1"/>
      <c r="OZD158" s="1"/>
      <c r="OZE158" s="1"/>
      <c r="OZF158" s="1"/>
      <c r="OZG158" s="1"/>
      <c r="OZH158" s="14"/>
      <c r="OZS158" s="1"/>
      <c r="OZT158" s="1"/>
      <c r="OZU158" s="1"/>
      <c r="OZV158" s="1"/>
      <c r="OZW158" s="1"/>
      <c r="OZX158" s="14"/>
      <c r="PAI158" s="1"/>
      <c r="PAJ158" s="1"/>
      <c r="PAK158" s="1"/>
      <c r="PAL158" s="1"/>
      <c r="PAM158" s="1"/>
      <c r="PAN158" s="14"/>
      <c r="PAY158" s="1"/>
      <c r="PAZ158" s="1"/>
      <c r="PBA158" s="1"/>
      <c r="PBB158" s="1"/>
      <c r="PBC158" s="1"/>
      <c r="PBD158" s="14"/>
      <c r="PBO158" s="1"/>
      <c r="PBP158" s="1"/>
      <c r="PBQ158" s="1"/>
      <c r="PBR158" s="1"/>
      <c r="PBS158" s="1"/>
      <c r="PBT158" s="14"/>
      <c r="PCE158" s="1"/>
      <c r="PCF158" s="1"/>
      <c r="PCG158" s="1"/>
      <c r="PCH158" s="1"/>
      <c r="PCI158" s="1"/>
      <c r="PCJ158" s="14"/>
      <c r="PCU158" s="1"/>
      <c r="PCV158" s="1"/>
      <c r="PCW158" s="1"/>
      <c r="PCX158" s="1"/>
      <c r="PCY158" s="1"/>
      <c r="PCZ158" s="14"/>
      <c r="PDK158" s="1"/>
      <c r="PDL158" s="1"/>
      <c r="PDM158" s="1"/>
      <c r="PDN158" s="1"/>
      <c r="PDO158" s="1"/>
      <c r="PDP158" s="14"/>
      <c r="PEA158" s="1"/>
      <c r="PEB158" s="1"/>
      <c r="PEC158" s="1"/>
      <c r="PED158" s="1"/>
      <c r="PEE158" s="1"/>
      <c r="PEF158" s="14"/>
      <c r="PEQ158" s="1"/>
      <c r="PER158" s="1"/>
      <c r="PES158" s="1"/>
      <c r="PET158" s="1"/>
      <c r="PEU158" s="1"/>
      <c r="PEV158" s="14"/>
      <c r="PFG158" s="1"/>
      <c r="PFH158" s="1"/>
      <c r="PFI158" s="1"/>
      <c r="PFJ158" s="1"/>
      <c r="PFK158" s="1"/>
      <c r="PFL158" s="14"/>
      <c r="PFW158" s="1"/>
      <c r="PFX158" s="1"/>
      <c r="PFY158" s="1"/>
      <c r="PFZ158" s="1"/>
      <c r="PGA158" s="1"/>
      <c r="PGB158" s="14"/>
      <c r="PGM158" s="1"/>
      <c r="PGN158" s="1"/>
      <c r="PGO158" s="1"/>
      <c r="PGP158" s="1"/>
      <c r="PGQ158" s="1"/>
      <c r="PGR158" s="14"/>
      <c r="PHC158" s="1"/>
      <c r="PHD158" s="1"/>
      <c r="PHE158" s="1"/>
      <c r="PHF158" s="1"/>
      <c r="PHG158" s="1"/>
      <c r="PHH158" s="14"/>
      <c r="PHS158" s="1"/>
      <c r="PHT158" s="1"/>
      <c r="PHU158" s="1"/>
      <c r="PHV158" s="1"/>
      <c r="PHW158" s="1"/>
      <c r="PHX158" s="14"/>
      <c r="PII158" s="1"/>
      <c r="PIJ158" s="1"/>
      <c r="PIK158" s="1"/>
      <c r="PIL158" s="1"/>
      <c r="PIM158" s="1"/>
      <c r="PIN158" s="14"/>
      <c r="PIY158" s="1"/>
      <c r="PIZ158" s="1"/>
      <c r="PJA158" s="1"/>
      <c r="PJB158" s="1"/>
      <c r="PJC158" s="1"/>
      <c r="PJD158" s="14"/>
      <c r="PJO158" s="1"/>
      <c r="PJP158" s="1"/>
      <c r="PJQ158" s="1"/>
      <c r="PJR158" s="1"/>
      <c r="PJS158" s="1"/>
      <c r="PJT158" s="14"/>
      <c r="PKE158" s="1"/>
      <c r="PKF158" s="1"/>
      <c r="PKG158" s="1"/>
      <c r="PKH158" s="1"/>
      <c r="PKI158" s="1"/>
      <c r="PKJ158" s="14"/>
      <c r="PKU158" s="1"/>
      <c r="PKV158" s="1"/>
      <c r="PKW158" s="1"/>
      <c r="PKX158" s="1"/>
      <c r="PKY158" s="1"/>
      <c r="PKZ158" s="14"/>
      <c r="PLK158" s="1"/>
      <c r="PLL158" s="1"/>
      <c r="PLM158" s="1"/>
      <c r="PLN158" s="1"/>
      <c r="PLO158" s="1"/>
      <c r="PLP158" s="14"/>
      <c r="PMA158" s="1"/>
      <c r="PMB158" s="1"/>
      <c r="PMC158" s="1"/>
      <c r="PMD158" s="1"/>
      <c r="PME158" s="1"/>
      <c r="PMF158" s="14"/>
      <c r="PMQ158" s="1"/>
      <c r="PMR158" s="1"/>
      <c r="PMS158" s="1"/>
      <c r="PMT158" s="1"/>
      <c r="PMU158" s="1"/>
      <c r="PMV158" s="14"/>
      <c r="PNG158" s="1"/>
      <c r="PNH158" s="1"/>
      <c r="PNI158" s="1"/>
      <c r="PNJ158" s="1"/>
      <c r="PNK158" s="1"/>
      <c r="PNL158" s="14"/>
      <c r="PNW158" s="1"/>
      <c r="PNX158" s="1"/>
      <c r="PNY158" s="1"/>
      <c r="PNZ158" s="1"/>
      <c r="POA158" s="1"/>
      <c r="POB158" s="14"/>
      <c r="POM158" s="1"/>
      <c r="PON158" s="1"/>
      <c r="POO158" s="1"/>
      <c r="POP158" s="1"/>
      <c r="POQ158" s="1"/>
      <c r="POR158" s="14"/>
      <c r="PPC158" s="1"/>
      <c r="PPD158" s="1"/>
      <c r="PPE158" s="1"/>
      <c r="PPF158" s="1"/>
      <c r="PPG158" s="1"/>
      <c r="PPH158" s="14"/>
      <c r="PPS158" s="1"/>
      <c r="PPT158" s="1"/>
      <c r="PPU158" s="1"/>
      <c r="PPV158" s="1"/>
      <c r="PPW158" s="1"/>
      <c r="PPX158" s="14"/>
      <c r="PQI158" s="1"/>
      <c r="PQJ158" s="1"/>
      <c r="PQK158" s="1"/>
      <c r="PQL158" s="1"/>
      <c r="PQM158" s="1"/>
      <c r="PQN158" s="14"/>
      <c r="PQY158" s="1"/>
      <c r="PQZ158" s="1"/>
      <c r="PRA158" s="1"/>
      <c r="PRB158" s="1"/>
      <c r="PRC158" s="1"/>
      <c r="PRD158" s="14"/>
      <c r="PRO158" s="1"/>
      <c r="PRP158" s="1"/>
      <c r="PRQ158" s="1"/>
      <c r="PRR158" s="1"/>
      <c r="PRS158" s="1"/>
      <c r="PRT158" s="14"/>
      <c r="PSE158" s="1"/>
      <c r="PSF158" s="1"/>
      <c r="PSG158" s="1"/>
      <c r="PSH158" s="1"/>
      <c r="PSI158" s="1"/>
      <c r="PSJ158" s="14"/>
      <c r="PSU158" s="1"/>
      <c r="PSV158" s="1"/>
      <c r="PSW158" s="1"/>
      <c r="PSX158" s="1"/>
      <c r="PSY158" s="1"/>
      <c r="PSZ158" s="14"/>
      <c r="PTK158" s="1"/>
      <c r="PTL158" s="1"/>
      <c r="PTM158" s="1"/>
      <c r="PTN158" s="1"/>
      <c r="PTO158" s="1"/>
      <c r="PTP158" s="14"/>
      <c r="PUA158" s="1"/>
      <c r="PUB158" s="1"/>
      <c r="PUC158" s="1"/>
      <c r="PUD158" s="1"/>
      <c r="PUE158" s="1"/>
      <c r="PUF158" s="14"/>
      <c r="PUQ158" s="1"/>
      <c r="PUR158" s="1"/>
      <c r="PUS158" s="1"/>
      <c r="PUT158" s="1"/>
      <c r="PUU158" s="1"/>
      <c r="PUV158" s="14"/>
      <c r="PVG158" s="1"/>
      <c r="PVH158" s="1"/>
      <c r="PVI158" s="1"/>
      <c r="PVJ158" s="1"/>
      <c r="PVK158" s="1"/>
      <c r="PVL158" s="14"/>
      <c r="PVW158" s="1"/>
      <c r="PVX158" s="1"/>
      <c r="PVY158" s="1"/>
      <c r="PVZ158" s="1"/>
      <c r="PWA158" s="1"/>
      <c r="PWB158" s="14"/>
      <c r="PWM158" s="1"/>
      <c r="PWN158" s="1"/>
      <c r="PWO158" s="1"/>
      <c r="PWP158" s="1"/>
      <c r="PWQ158" s="1"/>
      <c r="PWR158" s="14"/>
      <c r="PXC158" s="1"/>
      <c r="PXD158" s="1"/>
      <c r="PXE158" s="1"/>
      <c r="PXF158" s="1"/>
      <c r="PXG158" s="1"/>
      <c r="PXH158" s="14"/>
      <c r="PXS158" s="1"/>
      <c r="PXT158" s="1"/>
      <c r="PXU158" s="1"/>
      <c r="PXV158" s="1"/>
      <c r="PXW158" s="1"/>
      <c r="PXX158" s="14"/>
      <c r="PYI158" s="1"/>
      <c r="PYJ158" s="1"/>
      <c r="PYK158" s="1"/>
      <c r="PYL158" s="1"/>
      <c r="PYM158" s="1"/>
      <c r="PYN158" s="14"/>
      <c r="PYY158" s="1"/>
      <c r="PYZ158" s="1"/>
      <c r="PZA158" s="1"/>
      <c r="PZB158" s="1"/>
      <c r="PZC158" s="1"/>
      <c r="PZD158" s="14"/>
      <c r="PZO158" s="1"/>
      <c r="PZP158" s="1"/>
      <c r="PZQ158" s="1"/>
      <c r="PZR158" s="1"/>
      <c r="PZS158" s="1"/>
      <c r="PZT158" s="14"/>
      <c r="QAE158" s="1"/>
      <c r="QAF158" s="1"/>
      <c r="QAG158" s="1"/>
      <c r="QAH158" s="1"/>
      <c r="QAI158" s="1"/>
      <c r="QAJ158" s="14"/>
      <c r="QAU158" s="1"/>
      <c r="QAV158" s="1"/>
      <c r="QAW158" s="1"/>
      <c r="QAX158" s="1"/>
      <c r="QAY158" s="1"/>
      <c r="QAZ158" s="14"/>
      <c r="QBK158" s="1"/>
      <c r="QBL158" s="1"/>
      <c r="QBM158" s="1"/>
      <c r="QBN158" s="1"/>
      <c r="QBO158" s="1"/>
      <c r="QBP158" s="14"/>
      <c r="QCA158" s="1"/>
      <c r="QCB158" s="1"/>
      <c r="QCC158" s="1"/>
      <c r="QCD158" s="1"/>
      <c r="QCE158" s="1"/>
      <c r="QCF158" s="14"/>
      <c r="QCQ158" s="1"/>
      <c r="QCR158" s="1"/>
      <c r="QCS158" s="1"/>
      <c r="QCT158" s="1"/>
      <c r="QCU158" s="1"/>
      <c r="QCV158" s="14"/>
      <c r="QDG158" s="1"/>
      <c r="QDH158" s="1"/>
      <c r="QDI158" s="1"/>
      <c r="QDJ158" s="1"/>
      <c r="QDK158" s="1"/>
      <c r="QDL158" s="14"/>
      <c r="QDW158" s="1"/>
      <c r="QDX158" s="1"/>
      <c r="QDY158" s="1"/>
      <c r="QDZ158" s="1"/>
      <c r="QEA158" s="1"/>
      <c r="QEB158" s="14"/>
      <c r="QEM158" s="1"/>
      <c r="QEN158" s="1"/>
      <c r="QEO158" s="1"/>
      <c r="QEP158" s="1"/>
      <c r="QEQ158" s="1"/>
      <c r="QER158" s="14"/>
      <c r="QFC158" s="1"/>
      <c r="QFD158" s="1"/>
      <c r="QFE158" s="1"/>
      <c r="QFF158" s="1"/>
      <c r="QFG158" s="1"/>
      <c r="QFH158" s="14"/>
      <c r="QFS158" s="1"/>
      <c r="QFT158" s="1"/>
      <c r="QFU158" s="1"/>
      <c r="QFV158" s="1"/>
      <c r="QFW158" s="1"/>
      <c r="QFX158" s="14"/>
      <c r="QGI158" s="1"/>
      <c r="QGJ158" s="1"/>
      <c r="QGK158" s="1"/>
      <c r="QGL158" s="1"/>
      <c r="QGM158" s="1"/>
      <c r="QGN158" s="14"/>
      <c r="QGY158" s="1"/>
      <c r="QGZ158" s="1"/>
      <c r="QHA158" s="1"/>
      <c r="QHB158" s="1"/>
      <c r="QHC158" s="1"/>
      <c r="QHD158" s="14"/>
      <c r="QHO158" s="1"/>
      <c r="QHP158" s="1"/>
      <c r="QHQ158" s="1"/>
      <c r="QHR158" s="1"/>
      <c r="QHS158" s="1"/>
      <c r="QHT158" s="14"/>
      <c r="QIE158" s="1"/>
      <c r="QIF158" s="1"/>
      <c r="QIG158" s="1"/>
      <c r="QIH158" s="1"/>
      <c r="QII158" s="1"/>
      <c r="QIJ158" s="14"/>
      <c r="QIU158" s="1"/>
      <c r="QIV158" s="1"/>
      <c r="QIW158" s="1"/>
      <c r="QIX158" s="1"/>
      <c r="QIY158" s="1"/>
      <c r="QIZ158" s="14"/>
      <c r="QJK158" s="1"/>
      <c r="QJL158" s="1"/>
      <c r="QJM158" s="1"/>
      <c r="QJN158" s="1"/>
      <c r="QJO158" s="1"/>
      <c r="QJP158" s="14"/>
      <c r="QKA158" s="1"/>
      <c r="QKB158" s="1"/>
      <c r="QKC158" s="1"/>
      <c r="QKD158" s="1"/>
      <c r="QKE158" s="1"/>
      <c r="QKF158" s="14"/>
      <c r="QKQ158" s="1"/>
      <c r="QKR158" s="1"/>
      <c r="QKS158" s="1"/>
      <c r="QKT158" s="1"/>
      <c r="QKU158" s="1"/>
      <c r="QKV158" s="14"/>
      <c r="QLG158" s="1"/>
      <c r="QLH158" s="1"/>
      <c r="QLI158" s="1"/>
      <c r="QLJ158" s="1"/>
      <c r="QLK158" s="1"/>
      <c r="QLL158" s="14"/>
      <c r="QLW158" s="1"/>
      <c r="QLX158" s="1"/>
      <c r="QLY158" s="1"/>
      <c r="QLZ158" s="1"/>
      <c r="QMA158" s="1"/>
      <c r="QMB158" s="14"/>
      <c r="QMM158" s="1"/>
      <c r="QMN158" s="1"/>
      <c r="QMO158" s="1"/>
      <c r="QMP158" s="1"/>
      <c r="QMQ158" s="1"/>
      <c r="QMR158" s="14"/>
      <c r="QNC158" s="1"/>
      <c r="QND158" s="1"/>
      <c r="QNE158" s="1"/>
      <c r="QNF158" s="1"/>
      <c r="QNG158" s="1"/>
      <c r="QNH158" s="14"/>
      <c r="QNS158" s="1"/>
      <c r="QNT158" s="1"/>
      <c r="QNU158" s="1"/>
      <c r="QNV158" s="1"/>
      <c r="QNW158" s="1"/>
      <c r="QNX158" s="14"/>
      <c r="QOI158" s="1"/>
      <c r="QOJ158" s="1"/>
      <c r="QOK158" s="1"/>
      <c r="QOL158" s="1"/>
      <c r="QOM158" s="1"/>
      <c r="QON158" s="14"/>
      <c r="QOY158" s="1"/>
      <c r="QOZ158" s="1"/>
      <c r="QPA158" s="1"/>
      <c r="QPB158" s="1"/>
      <c r="QPC158" s="1"/>
      <c r="QPD158" s="14"/>
      <c r="QPO158" s="1"/>
      <c r="QPP158" s="1"/>
      <c r="QPQ158" s="1"/>
      <c r="QPR158" s="1"/>
      <c r="QPS158" s="1"/>
      <c r="QPT158" s="14"/>
      <c r="QQE158" s="1"/>
      <c r="QQF158" s="1"/>
      <c r="QQG158" s="1"/>
      <c r="QQH158" s="1"/>
      <c r="QQI158" s="1"/>
      <c r="QQJ158" s="14"/>
      <c r="QQU158" s="1"/>
      <c r="QQV158" s="1"/>
      <c r="QQW158" s="1"/>
      <c r="QQX158" s="1"/>
      <c r="QQY158" s="1"/>
      <c r="QQZ158" s="14"/>
      <c r="QRK158" s="1"/>
      <c r="QRL158" s="1"/>
      <c r="QRM158" s="1"/>
      <c r="QRN158" s="1"/>
      <c r="QRO158" s="1"/>
      <c r="QRP158" s="14"/>
      <c r="QSA158" s="1"/>
      <c r="QSB158" s="1"/>
      <c r="QSC158" s="1"/>
      <c r="QSD158" s="1"/>
      <c r="QSE158" s="1"/>
      <c r="QSF158" s="14"/>
      <c r="QSQ158" s="1"/>
      <c r="QSR158" s="1"/>
      <c r="QSS158" s="1"/>
      <c r="QST158" s="1"/>
      <c r="QSU158" s="1"/>
      <c r="QSV158" s="14"/>
      <c r="QTG158" s="1"/>
      <c r="QTH158" s="1"/>
      <c r="QTI158" s="1"/>
      <c r="QTJ158" s="1"/>
      <c r="QTK158" s="1"/>
      <c r="QTL158" s="14"/>
      <c r="QTW158" s="1"/>
      <c r="QTX158" s="1"/>
      <c r="QTY158" s="1"/>
      <c r="QTZ158" s="1"/>
      <c r="QUA158" s="1"/>
      <c r="QUB158" s="14"/>
      <c r="QUM158" s="1"/>
      <c r="QUN158" s="1"/>
      <c r="QUO158" s="1"/>
      <c r="QUP158" s="1"/>
      <c r="QUQ158" s="1"/>
      <c r="QUR158" s="14"/>
      <c r="QVC158" s="1"/>
      <c r="QVD158" s="1"/>
      <c r="QVE158" s="1"/>
      <c r="QVF158" s="1"/>
      <c r="QVG158" s="1"/>
      <c r="QVH158" s="14"/>
      <c r="QVS158" s="1"/>
      <c r="QVT158" s="1"/>
      <c r="QVU158" s="1"/>
      <c r="QVV158" s="1"/>
      <c r="QVW158" s="1"/>
      <c r="QVX158" s="14"/>
      <c r="QWI158" s="1"/>
      <c r="QWJ158" s="1"/>
      <c r="QWK158" s="1"/>
      <c r="QWL158" s="1"/>
      <c r="QWM158" s="1"/>
      <c r="QWN158" s="14"/>
      <c r="QWY158" s="1"/>
      <c r="QWZ158" s="1"/>
      <c r="QXA158" s="1"/>
      <c r="QXB158" s="1"/>
      <c r="QXC158" s="1"/>
      <c r="QXD158" s="14"/>
      <c r="QXO158" s="1"/>
      <c r="QXP158" s="1"/>
      <c r="QXQ158" s="1"/>
      <c r="QXR158" s="1"/>
      <c r="QXS158" s="1"/>
      <c r="QXT158" s="14"/>
      <c r="QYE158" s="1"/>
      <c r="QYF158" s="1"/>
      <c r="QYG158" s="1"/>
      <c r="QYH158" s="1"/>
      <c r="QYI158" s="1"/>
      <c r="QYJ158" s="14"/>
      <c r="QYU158" s="1"/>
      <c r="QYV158" s="1"/>
      <c r="QYW158" s="1"/>
      <c r="QYX158" s="1"/>
      <c r="QYY158" s="1"/>
      <c r="QYZ158" s="14"/>
      <c r="QZK158" s="1"/>
      <c r="QZL158" s="1"/>
      <c r="QZM158" s="1"/>
      <c r="QZN158" s="1"/>
      <c r="QZO158" s="1"/>
      <c r="QZP158" s="14"/>
      <c r="RAA158" s="1"/>
      <c r="RAB158" s="1"/>
      <c r="RAC158" s="1"/>
      <c r="RAD158" s="1"/>
      <c r="RAE158" s="1"/>
      <c r="RAF158" s="14"/>
      <c r="RAQ158" s="1"/>
      <c r="RAR158" s="1"/>
      <c r="RAS158" s="1"/>
      <c r="RAT158" s="1"/>
      <c r="RAU158" s="1"/>
      <c r="RAV158" s="14"/>
      <c r="RBG158" s="1"/>
      <c r="RBH158" s="1"/>
      <c r="RBI158" s="1"/>
      <c r="RBJ158" s="1"/>
      <c r="RBK158" s="1"/>
      <c r="RBL158" s="14"/>
      <c r="RBW158" s="1"/>
      <c r="RBX158" s="1"/>
      <c r="RBY158" s="1"/>
      <c r="RBZ158" s="1"/>
      <c r="RCA158" s="1"/>
      <c r="RCB158" s="14"/>
      <c r="RCM158" s="1"/>
      <c r="RCN158" s="1"/>
      <c r="RCO158" s="1"/>
      <c r="RCP158" s="1"/>
      <c r="RCQ158" s="1"/>
      <c r="RCR158" s="14"/>
      <c r="RDC158" s="1"/>
      <c r="RDD158" s="1"/>
      <c r="RDE158" s="1"/>
      <c r="RDF158" s="1"/>
      <c r="RDG158" s="1"/>
      <c r="RDH158" s="14"/>
      <c r="RDS158" s="1"/>
      <c r="RDT158" s="1"/>
      <c r="RDU158" s="1"/>
      <c r="RDV158" s="1"/>
      <c r="RDW158" s="1"/>
      <c r="RDX158" s="14"/>
      <c r="REI158" s="1"/>
      <c r="REJ158" s="1"/>
      <c r="REK158" s="1"/>
      <c r="REL158" s="1"/>
      <c r="REM158" s="1"/>
      <c r="REN158" s="14"/>
      <c r="REY158" s="1"/>
      <c r="REZ158" s="1"/>
      <c r="RFA158" s="1"/>
      <c r="RFB158" s="1"/>
      <c r="RFC158" s="1"/>
      <c r="RFD158" s="14"/>
      <c r="RFO158" s="1"/>
      <c r="RFP158" s="1"/>
      <c r="RFQ158" s="1"/>
      <c r="RFR158" s="1"/>
      <c r="RFS158" s="1"/>
      <c r="RFT158" s="14"/>
      <c r="RGE158" s="1"/>
      <c r="RGF158" s="1"/>
      <c r="RGG158" s="1"/>
      <c r="RGH158" s="1"/>
      <c r="RGI158" s="1"/>
      <c r="RGJ158" s="14"/>
      <c r="RGU158" s="1"/>
      <c r="RGV158" s="1"/>
      <c r="RGW158" s="1"/>
      <c r="RGX158" s="1"/>
      <c r="RGY158" s="1"/>
      <c r="RGZ158" s="14"/>
      <c r="RHK158" s="1"/>
      <c r="RHL158" s="1"/>
      <c r="RHM158" s="1"/>
      <c r="RHN158" s="1"/>
      <c r="RHO158" s="1"/>
      <c r="RHP158" s="14"/>
      <c r="RIA158" s="1"/>
      <c r="RIB158" s="1"/>
      <c r="RIC158" s="1"/>
      <c r="RID158" s="1"/>
      <c r="RIE158" s="1"/>
      <c r="RIF158" s="14"/>
      <c r="RIQ158" s="1"/>
      <c r="RIR158" s="1"/>
      <c r="RIS158" s="1"/>
      <c r="RIT158" s="1"/>
      <c r="RIU158" s="1"/>
      <c r="RIV158" s="14"/>
      <c r="RJG158" s="1"/>
      <c r="RJH158" s="1"/>
      <c r="RJI158" s="1"/>
      <c r="RJJ158" s="1"/>
      <c r="RJK158" s="1"/>
      <c r="RJL158" s="14"/>
      <c r="RJW158" s="1"/>
      <c r="RJX158" s="1"/>
      <c r="RJY158" s="1"/>
      <c r="RJZ158" s="1"/>
      <c r="RKA158" s="1"/>
      <c r="RKB158" s="14"/>
      <c r="RKM158" s="1"/>
      <c r="RKN158" s="1"/>
      <c r="RKO158" s="1"/>
      <c r="RKP158" s="1"/>
      <c r="RKQ158" s="1"/>
      <c r="RKR158" s="14"/>
      <c r="RLC158" s="1"/>
      <c r="RLD158" s="1"/>
      <c r="RLE158" s="1"/>
      <c r="RLF158" s="1"/>
      <c r="RLG158" s="1"/>
      <c r="RLH158" s="14"/>
      <c r="RLS158" s="1"/>
      <c r="RLT158" s="1"/>
      <c r="RLU158" s="1"/>
      <c r="RLV158" s="1"/>
      <c r="RLW158" s="1"/>
      <c r="RLX158" s="14"/>
      <c r="RMI158" s="1"/>
      <c r="RMJ158" s="1"/>
      <c r="RMK158" s="1"/>
      <c r="RML158" s="1"/>
      <c r="RMM158" s="1"/>
      <c r="RMN158" s="14"/>
      <c r="RMY158" s="1"/>
      <c r="RMZ158" s="1"/>
      <c r="RNA158" s="1"/>
      <c r="RNB158" s="1"/>
      <c r="RNC158" s="1"/>
      <c r="RND158" s="14"/>
      <c r="RNO158" s="1"/>
      <c r="RNP158" s="1"/>
      <c r="RNQ158" s="1"/>
      <c r="RNR158" s="1"/>
      <c r="RNS158" s="1"/>
      <c r="RNT158" s="14"/>
      <c r="ROE158" s="1"/>
      <c r="ROF158" s="1"/>
      <c r="ROG158" s="1"/>
      <c r="ROH158" s="1"/>
      <c r="ROI158" s="1"/>
      <c r="ROJ158" s="14"/>
      <c r="ROU158" s="1"/>
      <c r="ROV158" s="1"/>
      <c r="ROW158" s="1"/>
      <c r="ROX158" s="1"/>
      <c r="ROY158" s="1"/>
      <c r="ROZ158" s="14"/>
      <c r="RPK158" s="1"/>
      <c r="RPL158" s="1"/>
      <c r="RPM158" s="1"/>
      <c r="RPN158" s="1"/>
      <c r="RPO158" s="1"/>
      <c r="RPP158" s="14"/>
      <c r="RQA158" s="1"/>
      <c r="RQB158" s="1"/>
      <c r="RQC158" s="1"/>
      <c r="RQD158" s="1"/>
      <c r="RQE158" s="1"/>
      <c r="RQF158" s="14"/>
      <c r="RQQ158" s="1"/>
      <c r="RQR158" s="1"/>
      <c r="RQS158" s="1"/>
      <c r="RQT158" s="1"/>
      <c r="RQU158" s="1"/>
      <c r="RQV158" s="14"/>
      <c r="RRG158" s="1"/>
      <c r="RRH158" s="1"/>
      <c r="RRI158" s="1"/>
      <c r="RRJ158" s="1"/>
      <c r="RRK158" s="1"/>
      <c r="RRL158" s="14"/>
      <c r="RRW158" s="1"/>
      <c r="RRX158" s="1"/>
      <c r="RRY158" s="1"/>
      <c r="RRZ158" s="1"/>
      <c r="RSA158" s="1"/>
      <c r="RSB158" s="14"/>
      <c r="RSM158" s="1"/>
      <c r="RSN158" s="1"/>
      <c r="RSO158" s="1"/>
      <c r="RSP158" s="1"/>
      <c r="RSQ158" s="1"/>
      <c r="RSR158" s="14"/>
      <c r="RTC158" s="1"/>
      <c r="RTD158" s="1"/>
      <c r="RTE158" s="1"/>
      <c r="RTF158" s="1"/>
      <c r="RTG158" s="1"/>
      <c r="RTH158" s="14"/>
      <c r="RTS158" s="1"/>
      <c r="RTT158" s="1"/>
      <c r="RTU158" s="1"/>
      <c r="RTV158" s="1"/>
      <c r="RTW158" s="1"/>
      <c r="RTX158" s="14"/>
      <c r="RUI158" s="1"/>
      <c r="RUJ158" s="1"/>
      <c r="RUK158" s="1"/>
      <c r="RUL158" s="1"/>
      <c r="RUM158" s="1"/>
      <c r="RUN158" s="14"/>
      <c r="RUY158" s="1"/>
      <c r="RUZ158" s="1"/>
      <c r="RVA158" s="1"/>
      <c r="RVB158" s="1"/>
      <c r="RVC158" s="1"/>
      <c r="RVD158" s="14"/>
      <c r="RVO158" s="1"/>
      <c r="RVP158" s="1"/>
      <c r="RVQ158" s="1"/>
      <c r="RVR158" s="1"/>
      <c r="RVS158" s="1"/>
      <c r="RVT158" s="14"/>
      <c r="RWE158" s="1"/>
      <c r="RWF158" s="1"/>
      <c r="RWG158" s="1"/>
      <c r="RWH158" s="1"/>
      <c r="RWI158" s="1"/>
      <c r="RWJ158" s="14"/>
      <c r="RWU158" s="1"/>
      <c r="RWV158" s="1"/>
      <c r="RWW158" s="1"/>
      <c r="RWX158" s="1"/>
      <c r="RWY158" s="1"/>
      <c r="RWZ158" s="14"/>
      <c r="RXK158" s="1"/>
      <c r="RXL158" s="1"/>
      <c r="RXM158" s="1"/>
      <c r="RXN158" s="1"/>
      <c r="RXO158" s="1"/>
      <c r="RXP158" s="14"/>
      <c r="RYA158" s="1"/>
      <c r="RYB158" s="1"/>
      <c r="RYC158" s="1"/>
      <c r="RYD158" s="1"/>
      <c r="RYE158" s="1"/>
      <c r="RYF158" s="14"/>
      <c r="RYQ158" s="1"/>
      <c r="RYR158" s="1"/>
      <c r="RYS158" s="1"/>
      <c r="RYT158" s="1"/>
      <c r="RYU158" s="1"/>
      <c r="RYV158" s="14"/>
      <c r="RZG158" s="1"/>
      <c r="RZH158" s="1"/>
      <c r="RZI158" s="1"/>
      <c r="RZJ158" s="1"/>
      <c r="RZK158" s="1"/>
      <c r="RZL158" s="14"/>
      <c r="RZW158" s="1"/>
      <c r="RZX158" s="1"/>
      <c r="RZY158" s="1"/>
      <c r="RZZ158" s="1"/>
      <c r="SAA158" s="1"/>
      <c r="SAB158" s="14"/>
      <c r="SAM158" s="1"/>
      <c r="SAN158" s="1"/>
      <c r="SAO158" s="1"/>
      <c r="SAP158" s="1"/>
      <c r="SAQ158" s="1"/>
      <c r="SAR158" s="14"/>
      <c r="SBC158" s="1"/>
      <c r="SBD158" s="1"/>
      <c r="SBE158" s="1"/>
      <c r="SBF158" s="1"/>
      <c r="SBG158" s="1"/>
      <c r="SBH158" s="14"/>
      <c r="SBS158" s="1"/>
      <c r="SBT158" s="1"/>
      <c r="SBU158" s="1"/>
      <c r="SBV158" s="1"/>
      <c r="SBW158" s="1"/>
      <c r="SBX158" s="14"/>
      <c r="SCI158" s="1"/>
      <c r="SCJ158" s="1"/>
      <c r="SCK158" s="1"/>
      <c r="SCL158" s="1"/>
      <c r="SCM158" s="1"/>
      <c r="SCN158" s="14"/>
      <c r="SCY158" s="1"/>
      <c r="SCZ158" s="1"/>
      <c r="SDA158" s="1"/>
      <c r="SDB158" s="1"/>
      <c r="SDC158" s="1"/>
      <c r="SDD158" s="14"/>
      <c r="SDO158" s="1"/>
      <c r="SDP158" s="1"/>
      <c r="SDQ158" s="1"/>
      <c r="SDR158" s="1"/>
      <c r="SDS158" s="1"/>
      <c r="SDT158" s="14"/>
      <c r="SEE158" s="1"/>
      <c r="SEF158" s="1"/>
      <c r="SEG158" s="1"/>
      <c r="SEH158" s="1"/>
      <c r="SEI158" s="1"/>
      <c r="SEJ158" s="14"/>
      <c r="SEU158" s="1"/>
      <c r="SEV158" s="1"/>
      <c r="SEW158" s="1"/>
      <c r="SEX158" s="1"/>
      <c r="SEY158" s="1"/>
      <c r="SEZ158" s="14"/>
      <c r="SFK158" s="1"/>
      <c r="SFL158" s="1"/>
      <c r="SFM158" s="1"/>
      <c r="SFN158" s="1"/>
      <c r="SFO158" s="1"/>
      <c r="SFP158" s="14"/>
      <c r="SGA158" s="1"/>
      <c r="SGB158" s="1"/>
      <c r="SGC158" s="1"/>
      <c r="SGD158" s="1"/>
      <c r="SGE158" s="1"/>
      <c r="SGF158" s="14"/>
      <c r="SGQ158" s="1"/>
      <c r="SGR158" s="1"/>
      <c r="SGS158" s="1"/>
      <c r="SGT158" s="1"/>
      <c r="SGU158" s="1"/>
      <c r="SGV158" s="14"/>
      <c r="SHG158" s="1"/>
      <c r="SHH158" s="1"/>
      <c r="SHI158" s="1"/>
      <c r="SHJ158" s="1"/>
      <c r="SHK158" s="1"/>
      <c r="SHL158" s="14"/>
      <c r="SHW158" s="1"/>
      <c r="SHX158" s="1"/>
      <c r="SHY158" s="1"/>
      <c r="SHZ158" s="1"/>
      <c r="SIA158" s="1"/>
      <c r="SIB158" s="14"/>
      <c r="SIM158" s="1"/>
      <c r="SIN158" s="1"/>
      <c r="SIO158" s="1"/>
      <c r="SIP158" s="1"/>
      <c r="SIQ158" s="1"/>
      <c r="SIR158" s="14"/>
      <c r="SJC158" s="1"/>
      <c r="SJD158" s="1"/>
      <c r="SJE158" s="1"/>
      <c r="SJF158" s="1"/>
      <c r="SJG158" s="1"/>
      <c r="SJH158" s="14"/>
      <c r="SJS158" s="1"/>
      <c r="SJT158" s="1"/>
      <c r="SJU158" s="1"/>
      <c r="SJV158" s="1"/>
      <c r="SJW158" s="1"/>
      <c r="SJX158" s="14"/>
      <c r="SKI158" s="1"/>
      <c r="SKJ158" s="1"/>
      <c r="SKK158" s="1"/>
      <c r="SKL158" s="1"/>
      <c r="SKM158" s="1"/>
      <c r="SKN158" s="14"/>
      <c r="SKY158" s="1"/>
      <c r="SKZ158" s="1"/>
      <c r="SLA158" s="1"/>
      <c r="SLB158" s="1"/>
      <c r="SLC158" s="1"/>
      <c r="SLD158" s="14"/>
      <c r="SLO158" s="1"/>
      <c r="SLP158" s="1"/>
      <c r="SLQ158" s="1"/>
      <c r="SLR158" s="1"/>
      <c r="SLS158" s="1"/>
      <c r="SLT158" s="14"/>
      <c r="SME158" s="1"/>
      <c r="SMF158" s="1"/>
      <c r="SMG158" s="1"/>
      <c r="SMH158" s="1"/>
      <c r="SMI158" s="1"/>
      <c r="SMJ158" s="14"/>
      <c r="SMU158" s="1"/>
      <c r="SMV158" s="1"/>
      <c r="SMW158" s="1"/>
      <c r="SMX158" s="1"/>
      <c r="SMY158" s="1"/>
      <c r="SMZ158" s="14"/>
      <c r="SNK158" s="1"/>
      <c r="SNL158" s="1"/>
      <c r="SNM158" s="1"/>
      <c r="SNN158" s="1"/>
      <c r="SNO158" s="1"/>
      <c r="SNP158" s="14"/>
      <c r="SOA158" s="1"/>
      <c r="SOB158" s="1"/>
      <c r="SOC158" s="1"/>
      <c r="SOD158" s="1"/>
      <c r="SOE158" s="1"/>
      <c r="SOF158" s="14"/>
      <c r="SOQ158" s="1"/>
      <c r="SOR158" s="1"/>
      <c r="SOS158" s="1"/>
      <c r="SOT158" s="1"/>
      <c r="SOU158" s="1"/>
      <c r="SOV158" s="14"/>
      <c r="SPG158" s="1"/>
      <c r="SPH158" s="1"/>
      <c r="SPI158" s="1"/>
      <c r="SPJ158" s="1"/>
      <c r="SPK158" s="1"/>
      <c r="SPL158" s="14"/>
      <c r="SPW158" s="1"/>
      <c r="SPX158" s="1"/>
      <c r="SPY158" s="1"/>
      <c r="SPZ158" s="1"/>
      <c r="SQA158" s="1"/>
      <c r="SQB158" s="14"/>
      <c r="SQM158" s="1"/>
      <c r="SQN158" s="1"/>
      <c r="SQO158" s="1"/>
      <c r="SQP158" s="1"/>
      <c r="SQQ158" s="1"/>
      <c r="SQR158" s="14"/>
      <c r="SRC158" s="1"/>
      <c r="SRD158" s="1"/>
      <c r="SRE158" s="1"/>
      <c r="SRF158" s="1"/>
      <c r="SRG158" s="1"/>
      <c r="SRH158" s="14"/>
      <c r="SRS158" s="1"/>
      <c r="SRT158" s="1"/>
      <c r="SRU158" s="1"/>
      <c r="SRV158" s="1"/>
      <c r="SRW158" s="1"/>
      <c r="SRX158" s="14"/>
      <c r="SSI158" s="1"/>
      <c r="SSJ158" s="1"/>
      <c r="SSK158" s="1"/>
      <c r="SSL158" s="1"/>
      <c r="SSM158" s="1"/>
      <c r="SSN158" s="14"/>
      <c r="SSY158" s="1"/>
      <c r="SSZ158" s="1"/>
      <c r="STA158" s="1"/>
      <c r="STB158" s="1"/>
      <c r="STC158" s="1"/>
      <c r="STD158" s="14"/>
      <c r="STO158" s="1"/>
      <c r="STP158" s="1"/>
      <c r="STQ158" s="1"/>
      <c r="STR158" s="1"/>
      <c r="STS158" s="1"/>
      <c r="STT158" s="14"/>
      <c r="SUE158" s="1"/>
      <c r="SUF158" s="1"/>
      <c r="SUG158" s="1"/>
      <c r="SUH158" s="1"/>
      <c r="SUI158" s="1"/>
      <c r="SUJ158" s="14"/>
      <c r="SUU158" s="1"/>
      <c r="SUV158" s="1"/>
      <c r="SUW158" s="1"/>
      <c r="SUX158" s="1"/>
      <c r="SUY158" s="1"/>
      <c r="SUZ158" s="14"/>
      <c r="SVK158" s="1"/>
      <c r="SVL158" s="1"/>
      <c r="SVM158" s="1"/>
      <c r="SVN158" s="1"/>
      <c r="SVO158" s="1"/>
      <c r="SVP158" s="14"/>
      <c r="SWA158" s="1"/>
      <c r="SWB158" s="1"/>
      <c r="SWC158" s="1"/>
      <c r="SWD158" s="1"/>
      <c r="SWE158" s="1"/>
      <c r="SWF158" s="14"/>
      <c r="SWQ158" s="1"/>
      <c r="SWR158" s="1"/>
      <c r="SWS158" s="1"/>
      <c r="SWT158" s="1"/>
      <c r="SWU158" s="1"/>
      <c r="SWV158" s="14"/>
      <c r="SXG158" s="1"/>
      <c r="SXH158" s="1"/>
      <c r="SXI158" s="1"/>
      <c r="SXJ158" s="1"/>
      <c r="SXK158" s="1"/>
      <c r="SXL158" s="14"/>
      <c r="SXW158" s="1"/>
      <c r="SXX158" s="1"/>
      <c r="SXY158" s="1"/>
      <c r="SXZ158" s="1"/>
      <c r="SYA158" s="1"/>
      <c r="SYB158" s="14"/>
      <c r="SYM158" s="1"/>
      <c r="SYN158" s="1"/>
      <c r="SYO158" s="1"/>
      <c r="SYP158" s="1"/>
      <c r="SYQ158" s="1"/>
      <c r="SYR158" s="14"/>
      <c r="SZC158" s="1"/>
      <c r="SZD158" s="1"/>
      <c r="SZE158" s="1"/>
      <c r="SZF158" s="1"/>
      <c r="SZG158" s="1"/>
      <c r="SZH158" s="14"/>
      <c r="SZS158" s="1"/>
      <c r="SZT158" s="1"/>
      <c r="SZU158" s="1"/>
      <c r="SZV158" s="1"/>
      <c r="SZW158" s="1"/>
      <c r="SZX158" s="14"/>
      <c r="TAI158" s="1"/>
      <c r="TAJ158" s="1"/>
      <c r="TAK158" s="1"/>
      <c r="TAL158" s="1"/>
      <c r="TAM158" s="1"/>
      <c r="TAN158" s="14"/>
      <c r="TAY158" s="1"/>
      <c r="TAZ158" s="1"/>
      <c r="TBA158" s="1"/>
      <c r="TBB158" s="1"/>
      <c r="TBC158" s="1"/>
      <c r="TBD158" s="14"/>
      <c r="TBO158" s="1"/>
      <c r="TBP158" s="1"/>
      <c r="TBQ158" s="1"/>
      <c r="TBR158" s="1"/>
      <c r="TBS158" s="1"/>
      <c r="TBT158" s="14"/>
      <c r="TCE158" s="1"/>
      <c r="TCF158" s="1"/>
      <c r="TCG158" s="1"/>
      <c r="TCH158" s="1"/>
      <c r="TCI158" s="1"/>
      <c r="TCJ158" s="14"/>
      <c r="TCU158" s="1"/>
      <c r="TCV158" s="1"/>
      <c r="TCW158" s="1"/>
      <c r="TCX158" s="1"/>
      <c r="TCY158" s="1"/>
      <c r="TCZ158" s="14"/>
      <c r="TDK158" s="1"/>
      <c r="TDL158" s="1"/>
      <c r="TDM158" s="1"/>
      <c r="TDN158" s="1"/>
      <c r="TDO158" s="1"/>
      <c r="TDP158" s="14"/>
      <c r="TEA158" s="1"/>
      <c r="TEB158" s="1"/>
      <c r="TEC158" s="1"/>
      <c r="TED158" s="1"/>
      <c r="TEE158" s="1"/>
      <c r="TEF158" s="14"/>
      <c r="TEQ158" s="1"/>
      <c r="TER158" s="1"/>
      <c r="TES158" s="1"/>
      <c r="TET158" s="1"/>
      <c r="TEU158" s="1"/>
      <c r="TEV158" s="14"/>
      <c r="TFG158" s="1"/>
      <c r="TFH158" s="1"/>
      <c r="TFI158" s="1"/>
      <c r="TFJ158" s="1"/>
      <c r="TFK158" s="1"/>
      <c r="TFL158" s="14"/>
      <c r="TFW158" s="1"/>
      <c r="TFX158" s="1"/>
      <c r="TFY158" s="1"/>
      <c r="TFZ158" s="1"/>
      <c r="TGA158" s="1"/>
      <c r="TGB158" s="14"/>
      <c r="TGM158" s="1"/>
      <c r="TGN158" s="1"/>
      <c r="TGO158" s="1"/>
      <c r="TGP158" s="1"/>
      <c r="TGQ158" s="1"/>
      <c r="TGR158" s="14"/>
      <c r="THC158" s="1"/>
      <c r="THD158" s="1"/>
      <c r="THE158" s="1"/>
      <c r="THF158" s="1"/>
      <c r="THG158" s="1"/>
      <c r="THH158" s="14"/>
      <c r="THS158" s="1"/>
      <c r="THT158" s="1"/>
      <c r="THU158" s="1"/>
      <c r="THV158" s="1"/>
      <c r="THW158" s="1"/>
      <c r="THX158" s="14"/>
      <c r="TII158" s="1"/>
      <c r="TIJ158" s="1"/>
      <c r="TIK158" s="1"/>
      <c r="TIL158" s="1"/>
      <c r="TIM158" s="1"/>
      <c r="TIN158" s="14"/>
      <c r="TIY158" s="1"/>
      <c r="TIZ158" s="1"/>
      <c r="TJA158" s="1"/>
      <c r="TJB158" s="1"/>
      <c r="TJC158" s="1"/>
      <c r="TJD158" s="14"/>
      <c r="TJO158" s="1"/>
      <c r="TJP158" s="1"/>
      <c r="TJQ158" s="1"/>
      <c r="TJR158" s="1"/>
      <c r="TJS158" s="1"/>
      <c r="TJT158" s="14"/>
      <c r="TKE158" s="1"/>
      <c r="TKF158" s="1"/>
      <c r="TKG158" s="1"/>
      <c r="TKH158" s="1"/>
      <c r="TKI158" s="1"/>
      <c r="TKJ158" s="14"/>
      <c r="TKU158" s="1"/>
      <c r="TKV158" s="1"/>
      <c r="TKW158" s="1"/>
      <c r="TKX158" s="1"/>
      <c r="TKY158" s="1"/>
      <c r="TKZ158" s="14"/>
      <c r="TLK158" s="1"/>
      <c r="TLL158" s="1"/>
      <c r="TLM158" s="1"/>
      <c r="TLN158" s="1"/>
      <c r="TLO158" s="1"/>
      <c r="TLP158" s="14"/>
      <c r="TMA158" s="1"/>
      <c r="TMB158" s="1"/>
      <c r="TMC158" s="1"/>
      <c r="TMD158" s="1"/>
      <c r="TME158" s="1"/>
      <c r="TMF158" s="14"/>
      <c r="TMQ158" s="1"/>
      <c r="TMR158" s="1"/>
      <c r="TMS158" s="1"/>
      <c r="TMT158" s="1"/>
      <c r="TMU158" s="1"/>
      <c r="TMV158" s="14"/>
      <c r="TNG158" s="1"/>
      <c r="TNH158" s="1"/>
      <c r="TNI158" s="1"/>
      <c r="TNJ158" s="1"/>
      <c r="TNK158" s="1"/>
      <c r="TNL158" s="14"/>
      <c r="TNW158" s="1"/>
      <c r="TNX158" s="1"/>
      <c r="TNY158" s="1"/>
      <c r="TNZ158" s="1"/>
      <c r="TOA158" s="1"/>
      <c r="TOB158" s="14"/>
      <c r="TOM158" s="1"/>
      <c r="TON158" s="1"/>
      <c r="TOO158" s="1"/>
      <c r="TOP158" s="1"/>
      <c r="TOQ158" s="1"/>
      <c r="TOR158" s="14"/>
      <c r="TPC158" s="1"/>
      <c r="TPD158" s="1"/>
      <c r="TPE158" s="1"/>
      <c r="TPF158" s="1"/>
      <c r="TPG158" s="1"/>
      <c r="TPH158" s="14"/>
      <c r="TPS158" s="1"/>
      <c r="TPT158" s="1"/>
      <c r="TPU158" s="1"/>
      <c r="TPV158" s="1"/>
      <c r="TPW158" s="1"/>
      <c r="TPX158" s="14"/>
      <c r="TQI158" s="1"/>
      <c r="TQJ158" s="1"/>
      <c r="TQK158" s="1"/>
      <c r="TQL158" s="1"/>
      <c r="TQM158" s="1"/>
      <c r="TQN158" s="14"/>
      <c r="TQY158" s="1"/>
      <c r="TQZ158" s="1"/>
      <c r="TRA158" s="1"/>
      <c r="TRB158" s="1"/>
      <c r="TRC158" s="1"/>
      <c r="TRD158" s="14"/>
      <c r="TRO158" s="1"/>
      <c r="TRP158" s="1"/>
      <c r="TRQ158" s="1"/>
      <c r="TRR158" s="1"/>
      <c r="TRS158" s="1"/>
      <c r="TRT158" s="14"/>
      <c r="TSE158" s="1"/>
      <c r="TSF158" s="1"/>
      <c r="TSG158" s="1"/>
      <c r="TSH158" s="1"/>
      <c r="TSI158" s="1"/>
      <c r="TSJ158" s="14"/>
      <c r="TSU158" s="1"/>
      <c r="TSV158" s="1"/>
      <c r="TSW158" s="1"/>
      <c r="TSX158" s="1"/>
      <c r="TSY158" s="1"/>
      <c r="TSZ158" s="14"/>
      <c r="TTK158" s="1"/>
      <c r="TTL158" s="1"/>
      <c r="TTM158" s="1"/>
      <c r="TTN158" s="1"/>
      <c r="TTO158" s="1"/>
      <c r="TTP158" s="14"/>
      <c r="TUA158" s="1"/>
      <c r="TUB158" s="1"/>
      <c r="TUC158" s="1"/>
      <c r="TUD158" s="1"/>
      <c r="TUE158" s="1"/>
      <c r="TUF158" s="14"/>
      <c r="TUQ158" s="1"/>
      <c r="TUR158" s="1"/>
      <c r="TUS158" s="1"/>
      <c r="TUT158" s="1"/>
      <c r="TUU158" s="1"/>
      <c r="TUV158" s="14"/>
      <c r="TVG158" s="1"/>
      <c r="TVH158" s="1"/>
      <c r="TVI158" s="1"/>
      <c r="TVJ158" s="1"/>
      <c r="TVK158" s="1"/>
      <c r="TVL158" s="14"/>
      <c r="TVW158" s="1"/>
      <c r="TVX158" s="1"/>
      <c r="TVY158" s="1"/>
      <c r="TVZ158" s="1"/>
      <c r="TWA158" s="1"/>
      <c r="TWB158" s="14"/>
      <c r="TWM158" s="1"/>
      <c r="TWN158" s="1"/>
      <c r="TWO158" s="1"/>
      <c r="TWP158" s="1"/>
      <c r="TWQ158" s="1"/>
      <c r="TWR158" s="14"/>
      <c r="TXC158" s="1"/>
      <c r="TXD158" s="1"/>
      <c r="TXE158" s="1"/>
      <c r="TXF158" s="1"/>
      <c r="TXG158" s="1"/>
      <c r="TXH158" s="14"/>
      <c r="TXS158" s="1"/>
      <c r="TXT158" s="1"/>
      <c r="TXU158" s="1"/>
      <c r="TXV158" s="1"/>
      <c r="TXW158" s="1"/>
      <c r="TXX158" s="14"/>
      <c r="TYI158" s="1"/>
      <c r="TYJ158" s="1"/>
      <c r="TYK158" s="1"/>
      <c r="TYL158" s="1"/>
      <c r="TYM158" s="1"/>
      <c r="TYN158" s="14"/>
      <c r="TYY158" s="1"/>
      <c r="TYZ158" s="1"/>
      <c r="TZA158" s="1"/>
      <c r="TZB158" s="1"/>
      <c r="TZC158" s="1"/>
      <c r="TZD158" s="14"/>
      <c r="TZO158" s="1"/>
      <c r="TZP158" s="1"/>
      <c r="TZQ158" s="1"/>
      <c r="TZR158" s="1"/>
      <c r="TZS158" s="1"/>
      <c r="TZT158" s="14"/>
      <c r="UAE158" s="1"/>
      <c r="UAF158" s="1"/>
      <c r="UAG158" s="1"/>
      <c r="UAH158" s="1"/>
      <c r="UAI158" s="1"/>
      <c r="UAJ158" s="14"/>
      <c r="UAU158" s="1"/>
      <c r="UAV158" s="1"/>
      <c r="UAW158" s="1"/>
      <c r="UAX158" s="1"/>
      <c r="UAY158" s="1"/>
      <c r="UAZ158" s="14"/>
      <c r="UBK158" s="1"/>
      <c r="UBL158" s="1"/>
      <c r="UBM158" s="1"/>
      <c r="UBN158" s="1"/>
      <c r="UBO158" s="1"/>
      <c r="UBP158" s="14"/>
      <c r="UCA158" s="1"/>
      <c r="UCB158" s="1"/>
      <c r="UCC158" s="1"/>
      <c r="UCD158" s="1"/>
      <c r="UCE158" s="1"/>
      <c r="UCF158" s="14"/>
      <c r="UCQ158" s="1"/>
      <c r="UCR158" s="1"/>
      <c r="UCS158" s="1"/>
      <c r="UCT158" s="1"/>
      <c r="UCU158" s="1"/>
      <c r="UCV158" s="14"/>
      <c r="UDG158" s="1"/>
      <c r="UDH158" s="1"/>
      <c r="UDI158" s="1"/>
      <c r="UDJ158" s="1"/>
      <c r="UDK158" s="1"/>
      <c r="UDL158" s="14"/>
      <c r="UDW158" s="1"/>
      <c r="UDX158" s="1"/>
      <c r="UDY158" s="1"/>
      <c r="UDZ158" s="1"/>
      <c r="UEA158" s="1"/>
      <c r="UEB158" s="14"/>
      <c r="UEM158" s="1"/>
      <c r="UEN158" s="1"/>
      <c r="UEO158" s="1"/>
      <c r="UEP158" s="1"/>
      <c r="UEQ158" s="1"/>
      <c r="UER158" s="14"/>
      <c r="UFC158" s="1"/>
      <c r="UFD158" s="1"/>
      <c r="UFE158" s="1"/>
      <c r="UFF158" s="1"/>
      <c r="UFG158" s="1"/>
      <c r="UFH158" s="14"/>
      <c r="UFS158" s="1"/>
      <c r="UFT158" s="1"/>
      <c r="UFU158" s="1"/>
      <c r="UFV158" s="1"/>
      <c r="UFW158" s="1"/>
      <c r="UFX158" s="14"/>
      <c r="UGI158" s="1"/>
      <c r="UGJ158" s="1"/>
      <c r="UGK158" s="1"/>
      <c r="UGL158" s="1"/>
      <c r="UGM158" s="1"/>
      <c r="UGN158" s="14"/>
      <c r="UGY158" s="1"/>
      <c r="UGZ158" s="1"/>
      <c r="UHA158" s="1"/>
      <c r="UHB158" s="1"/>
      <c r="UHC158" s="1"/>
      <c r="UHD158" s="14"/>
      <c r="UHO158" s="1"/>
      <c r="UHP158" s="1"/>
      <c r="UHQ158" s="1"/>
      <c r="UHR158" s="1"/>
      <c r="UHS158" s="1"/>
      <c r="UHT158" s="14"/>
      <c r="UIE158" s="1"/>
      <c r="UIF158" s="1"/>
      <c r="UIG158" s="1"/>
      <c r="UIH158" s="1"/>
      <c r="UII158" s="1"/>
      <c r="UIJ158" s="14"/>
      <c r="UIU158" s="1"/>
      <c r="UIV158" s="1"/>
      <c r="UIW158" s="1"/>
      <c r="UIX158" s="1"/>
      <c r="UIY158" s="1"/>
      <c r="UIZ158" s="14"/>
      <c r="UJK158" s="1"/>
      <c r="UJL158" s="1"/>
      <c r="UJM158" s="1"/>
      <c r="UJN158" s="1"/>
      <c r="UJO158" s="1"/>
      <c r="UJP158" s="14"/>
      <c r="UKA158" s="1"/>
      <c r="UKB158" s="1"/>
      <c r="UKC158" s="1"/>
      <c r="UKD158" s="1"/>
      <c r="UKE158" s="1"/>
      <c r="UKF158" s="14"/>
      <c r="UKQ158" s="1"/>
      <c r="UKR158" s="1"/>
      <c r="UKS158" s="1"/>
      <c r="UKT158" s="1"/>
      <c r="UKU158" s="1"/>
      <c r="UKV158" s="14"/>
      <c r="ULG158" s="1"/>
      <c r="ULH158" s="1"/>
      <c r="ULI158" s="1"/>
      <c r="ULJ158" s="1"/>
      <c r="ULK158" s="1"/>
      <c r="ULL158" s="14"/>
      <c r="ULW158" s="1"/>
      <c r="ULX158" s="1"/>
      <c r="ULY158" s="1"/>
      <c r="ULZ158" s="1"/>
      <c r="UMA158" s="1"/>
      <c r="UMB158" s="14"/>
      <c r="UMM158" s="1"/>
      <c r="UMN158" s="1"/>
      <c r="UMO158" s="1"/>
      <c r="UMP158" s="1"/>
      <c r="UMQ158" s="1"/>
      <c r="UMR158" s="14"/>
      <c r="UNC158" s="1"/>
      <c r="UND158" s="1"/>
      <c r="UNE158" s="1"/>
      <c r="UNF158" s="1"/>
      <c r="UNG158" s="1"/>
      <c r="UNH158" s="14"/>
      <c r="UNS158" s="1"/>
      <c r="UNT158" s="1"/>
      <c r="UNU158" s="1"/>
      <c r="UNV158" s="1"/>
      <c r="UNW158" s="1"/>
      <c r="UNX158" s="14"/>
      <c r="UOI158" s="1"/>
      <c r="UOJ158" s="1"/>
      <c r="UOK158" s="1"/>
      <c r="UOL158" s="1"/>
      <c r="UOM158" s="1"/>
      <c r="UON158" s="14"/>
      <c r="UOY158" s="1"/>
      <c r="UOZ158" s="1"/>
      <c r="UPA158" s="1"/>
      <c r="UPB158" s="1"/>
      <c r="UPC158" s="1"/>
      <c r="UPD158" s="14"/>
      <c r="UPO158" s="1"/>
      <c r="UPP158" s="1"/>
      <c r="UPQ158" s="1"/>
      <c r="UPR158" s="1"/>
      <c r="UPS158" s="1"/>
      <c r="UPT158" s="14"/>
      <c r="UQE158" s="1"/>
      <c r="UQF158" s="1"/>
      <c r="UQG158" s="1"/>
      <c r="UQH158" s="1"/>
      <c r="UQI158" s="1"/>
      <c r="UQJ158" s="14"/>
      <c r="UQU158" s="1"/>
      <c r="UQV158" s="1"/>
      <c r="UQW158" s="1"/>
      <c r="UQX158" s="1"/>
      <c r="UQY158" s="1"/>
      <c r="UQZ158" s="14"/>
      <c r="URK158" s="1"/>
      <c r="URL158" s="1"/>
      <c r="URM158" s="1"/>
      <c r="URN158" s="1"/>
      <c r="URO158" s="1"/>
      <c r="URP158" s="14"/>
      <c r="USA158" s="1"/>
      <c r="USB158" s="1"/>
      <c r="USC158" s="1"/>
      <c r="USD158" s="1"/>
      <c r="USE158" s="1"/>
      <c r="USF158" s="14"/>
      <c r="USQ158" s="1"/>
      <c r="USR158" s="1"/>
      <c r="USS158" s="1"/>
      <c r="UST158" s="1"/>
      <c r="USU158" s="1"/>
      <c r="USV158" s="14"/>
      <c r="UTG158" s="1"/>
      <c r="UTH158" s="1"/>
      <c r="UTI158" s="1"/>
      <c r="UTJ158" s="1"/>
      <c r="UTK158" s="1"/>
      <c r="UTL158" s="14"/>
      <c r="UTW158" s="1"/>
      <c r="UTX158" s="1"/>
      <c r="UTY158" s="1"/>
      <c r="UTZ158" s="1"/>
      <c r="UUA158" s="1"/>
      <c r="UUB158" s="14"/>
      <c r="UUM158" s="1"/>
      <c r="UUN158" s="1"/>
      <c r="UUO158" s="1"/>
      <c r="UUP158" s="1"/>
      <c r="UUQ158" s="1"/>
      <c r="UUR158" s="14"/>
      <c r="UVC158" s="1"/>
      <c r="UVD158" s="1"/>
      <c r="UVE158" s="1"/>
      <c r="UVF158" s="1"/>
      <c r="UVG158" s="1"/>
      <c r="UVH158" s="14"/>
      <c r="UVS158" s="1"/>
      <c r="UVT158" s="1"/>
      <c r="UVU158" s="1"/>
      <c r="UVV158" s="1"/>
      <c r="UVW158" s="1"/>
      <c r="UVX158" s="14"/>
      <c r="UWI158" s="1"/>
      <c r="UWJ158" s="1"/>
      <c r="UWK158" s="1"/>
      <c r="UWL158" s="1"/>
      <c r="UWM158" s="1"/>
      <c r="UWN158" s="14"/>
      <c r="UWY158" s="1"/>
      <c r="UWZ158" s="1"/>
      <c r="UXA158" s="1"/>
      <c r="UXB158" s="1"/>
      <c r="UXC158" s="1"/>
      <c r="UXD158" s="14"/>
      <c r="UXO158" s="1"/>
      <c r="UXP158" s="1"/>
      <c r="UXQ158" s="1"/>
      <c r="UXR158" s="1"/>
      <c r="UXS158" s="1"/>
      <c r="UXT158" s="14"/>
      <c r="UYE158" s="1"/>
      <c r="UYF158" s="1"/>
      <c r="UYG158" s="1"/>
      <c r="UYH158" s="1"/>
      <c r="UYI158" s="1"/>
      <c r="UYJ158" s="14"/>
      <c r="UYU158" s="1"/>
      <c r="UYV158" s="1"/>
      <c r="UYW158" s="1"/>
      <c r="UYX158" s="1"/>
      <c r="UYY158" s="1"/>
      <c r="UYZ158" s="14"/>
      <c r="UZK158" s="1"/>
      <c r="UZL158" s="1"/>
      <c r="UZM158" s="1"/>
      <c r="UZN158" s="1"/>
      <c r="UZO158" s="1"/>
      <c r="UZP158" s="14"/>
      <c r="VAA158" s="1"/>
      <c r="VAB158" s="1"/>
      <c r="VAC158" s="1"/>
      <c r="VAD158" s="1"/>
      <c r="VAE158" s="1"/>
      <c r="VAF158" s="14"/>
      <c r="VAQ158" s="1"/>
      <c r="VAR158" s="1"/>
      <c r="VAS158" s="1"/>
      <c r="VAT158" s="1"/>
      <c r="VAU158" s="1"/>
      <c r="VAV158" s="14"/>
      <c r="VBG158" s="1"/>
      <c r="VBH158" s="1"/>
      <c r="VBI158" s="1"/>
      <c r="VBJ158" s="1"/>
      <c r="VBK158" s="1"/>
      <c r="VBL158" s="14"/>
      <c r="VBW158" s="1"/>
      <c r="VBX158" s="1"/>
      <c r="VBY158" s="1"/>
      <c r="VBZ158" s="1"/>
      <c r="VCA158" s="1"/>
      <c r="VCB158" s="14"/>
      <c r="VCM158" s="1"/>
      <c r="VCN158" s="1"/>
      <c r="VCO158" s="1"/>
      <c r="VCP158" s="1"/>
      <c r="VCQ158" s="1"/>
      <c r="VCR158" s="14"/>
      <c r="VDC158" s="1"/>
      <c r="VDD158" s="1"/>
      <c r="VDE158" s="1"/>
      <c r="VDF158" s="1"/>
      <c r="VDG158" s="1"/>
      <c r="VDH158" s="14"/>
      <c r="VDS158" s="1"/>
      <c r="VDT158" s="1"/>
      <c r="VDU158" s="1"/>
      <c r="VDV158" s="1"/>
      <c r="VDW158" s="1"/>
      <c r="VDX158" s="14"/>
      <c r="VEI158" s="1"/>
      <c r="VEJ158" s="1"/>
      <c r="VEK158" s="1"/>
      <c r="VEL158" s="1"/>
      <c r="VEM158" s="1"/>
      <c r="VEN158" s="14"/>
      <c r="VEY158" s="1"/>
      <c r="VEZ158" s="1"/>
      <c r="VFA158" s="1"/>
      <c r="VFB158" s="1"/>
      <c r="VFC158" s="1"/>
      <c r="VFD158" s="14"/>
      <c r="VFO158" s="1"/>
      <c r="VFP158" s="1"/>
      <c r="VFQ158" s="1"/>
      <c r="VFR158" s="1"/>
      <c r="VFS158" s="1"/>
      <c r="VFT158" s="14"/>
      <c r="VGE158" s="1"/>
      <c r="VGF158" s="1"/>
      <c r="VGG158" s="1"/>
      <c r="VGH158" s="1"/>
      <c r="VGI158" s="1"/>
      <c r="VGJ158" s="14"/>
      <c r="VGU158" s="1"/>
      <c r="VGV158" s="1"/>
      <c r="VGW158" s="1"/>
      <c r="VGX158" s="1"/>
      <c r="VGY158" s="1"/>
      <c r="VGZ158" s="14"/>
      <c r="VHK158" s="1"/>
      <c r="VHL158" s="1"/>
      <c r="VHM158" s="1"/>
      <c r="VHN158" s="1"/>
      <c r="VHO158" s="1"/>
      <c r="VHP158" s="14"/>
      <c r="VIA158" s="1"/>
      <c r="VIB158" s="1"/>
      <c r="VIC158" s="1"/>
      <c r="VID158" s="1"/>
      <c r="VIE158" s="1"/>
      <c r="VIF158" s="14"/>
      <c r="VIQ158" s="1"/>
      <c r="VIR158" s="1"/>
      <c r="VIS158" s="1"/>
      <c r="VIT158" s="1"/>
      <c r="VIU158" s="1"/>
      <c r="VIV158" s="14"/>
      <c r="VJG158" s="1"/>
      <c r="VJH158" s="1"/>
      <c r="VJI158" s="1"/>
      <c r="VJJ158" s="1"/>
      <c r="VJK158" s="1"/>
      <c r="VJL158" s="14"/>
      <c r="VJW158" s="1"/>
      <c r="VJX158" s="1"/>
      <c r="VJY158" s="1"/>
      <c r="VJZ158" s="1"/>
      <c r="VKA158" s="1"/>
      <c r="VKB158" s="14"/>
      <c r="VKM158" s="1"/>
      <c r="VKN158" s="1"/>
      <c r="VKO158" s="1"/>
      <c r="VKP158" s="1"/>
      <c r="VKQ158" s="1"/>
      <c r="VKR158" s="14"/>
      <c r="VLC158" s="1"/>
      <c r="VLD158" s="1"/>
      <c r="VLE158" s="1"/>
      <c r="VLF158" s="1"/>
      <c r="VLG158" s="1"/>
      <c r="VLH158" s="14"/>
      <c r="VLS158" s="1"/>
      <c r="VLT158" s="1"/>
      <c r="VLU158" s="1"/>
      <c r="VLV158" s="1"/>
      <c r="VLW158" s="1"/>
      <c r="VLX158" s="14"/>
      <c r="VMI158" s="1"/>
      <c r="VMJ158" s="1"/>
      <c r="VMK158" s="1"/>
      <c r="VML158" s="1"/>
      <c r="VMM158" s="1"/>
      <c r="VMN158" s="14"/>
      <c r="VMY158" s="1"/>
      <c r="VMZ158" s="1"/>
      <c r="VNA158" s="1"/>
      <c r="VNB158" s="1"/>
      <c r="VNC158" s="1"/>
      <c r="VND158" s="14"/>
      <c r="VNO158" s="1"/>
      <c r="VNP158" s="1"/>
      <c r="VNQ158" s="1"/>
      <c r="VNR158" s="1"/>
      <c r="VNS158" s="1"/>
      <c r="VNT158" s="14"/>
      <c r="VOE158" s="1"/>
      <c r="VOF158" s="1"/>
      <c r="VOG158" s="1"/>
      <c r="VOH158" s="1"/>
      <c r="VOI158" s="1"/>
      <c r="VOJ158" s="14"/>
      <c r="VOU158" s="1"/>
      <c r="VOV158" s="1"/>
      <c r="VOW158" s="1"/>
      <c r="VOX158" s="1"/>
      <c r="VOY158" s="1"/>
      <c r="VOZ158" s="14"/>
      <c r="VPK158" s="1"/>
      <c r="VPL158" s="1"/>
      <c r="VPM158" s="1"/>
      <c r="VPN158" s="1"/>
      <c r="VPO158" s="1"/>
      <c r="VPP158" s="14"/>
      <c r="VQA158" s="1"/>
      <c r="VQB158" s="1"/>
      <c r="VQC158" s="1"/>
      <c r="VQD158" s="1"/>
      <c r="VQE158" s="1"/>
      <c r="VQF158" s="14"/>
      <c r="VQQ158" s="1"/>
      <c r="VQR158" s="1"/>
      <c r="VQS158" s="1"/>
      <c r="VQT158" s="1"/>
      <c r="VQU158" s="1"/>
      <c r="VQV158" s="14"/>
      <c r="VRG158" s="1"/>
      <c r="VRH158" s="1"/>
      <c r="VRI158" s="1"/>
      <c r="VRJ158" s="1"/>
      <c r="VRK158" s="1"/>
      <c r="VRL158" s="14"/>
      <c r="VRW158" s="1"/>
      <c r="VRX158" s="1"/>
      <c r="VRY158" s="1"/>
      <c r="VRZ158" s="1"/>
      <c r="VSA158" s="1"/>
      <c r="VSB158" s="14"/>
      <c r="VSM158" s="1"/>
      <c r="VSN158" s="1"/>
      <c r="VSO158" s="1"/>
      <c r="VSP158" s="1"/>
      <c r="VSQ158" s="1"/>
      <c r="VSR158" s="14"/>
      <c r="VTC158" s="1"/>
      <c r="VTD158" s="1"/>
      <c r="VTE158" s="1"/>
      <c r="VTF158" s="1"/>
      <c r="VTG158" s="1"/>
      <c r="VTH158" s="14"/>
      <c r="VTS158" s="1"/>
      <c r="VTT158" s="1"/>
      <c r="VTU158" s="1"/>
      <c r="VTV158" s="1"/>
      <c r="VTW158" s="1"/>
      <c r="VTX158" s="14"/>
      <c r="VUI158" s="1"/>
      <c r="VUJ158" s="1"/>
      <c r="VUK158" s="1"/>
      <c r="VUL158" s="1"/>
      <c r="VUM158" s="1"/>
      <c r="VUN158" s="14"/>
      <c r="VUY158" s="1"/>
      <c r="VUZ158" s="1"/>
      <c r="VVA158" s="1"/>
      <c r="VVB158" s="1"/>
      <c r="VVC158" s="1"/>
      <c r="VVD158" s="14"/>
      <c r="VVO158" s="1"/>
      <c r="VVP158" s="1"/>
      <c r="VVQ158" s="1"/>
      <c r="VVR158" s="1"/>
      <c r="VVS158" s="1"/>
      <c r="VVT158" s="14"/>
      <c r="VWE158" s="1"/>
      <c r="VWF158" s="1"/>
      <c r="VWG158" s="1"/>
      <c r="VWH158" s="1"/>
      <c r="VWI158" s="1"/>
      <c r="VWJ158" s="14"/>
      <c r="VWU158" s="1"/>
      <c r="VWV158" s="1"/>
      <c r="VWW158" s="1"/>
      <c r="VWX158" s="1"/>
      <c r="VWY158" s="1"/>
      <c r="VWZ158" s="14"/>
      <c r="VXK158" s="1"/>
      <c r="VXL158" s="1"/>
      <c r="VXM158" s="1"/>
      <c r="VXN158" s="1"/>
      <c r="VXO158" s="1"/>
      <c r="VXP158" s="14"/>
      <c r="VYA158" s="1"/>
      <c r="VYB158" s="1"/>
      <c r="VYC158" s="1"/>
      <c r="VYD158" s="1"/>
      <c r="VYE158" s="1"/>
      <c r="VYF158" s="14"/>
      <c r="VYQ158" s="1"/>
      <c r="VYR158" s="1"/>
      <c r="VYS158" s="1"/>
      <c r="VYT158" s="1"/>
      <c r="VYU158" s="1"/>
      <c r="VYV158" s="14"/>
      <c r="VZG158" s="1"/>
      <c r="VZH158" s="1"/>
      <c r="VZI158" s="1"/>
      <c r="VZJ158" s="1"/>
      <c r="VZK158" s="1"/>
      <c r="VZL158" s="14"/>
      <c r="VZW158" s="1"/>
      <c r="VZX158" s="1"/>
      <c r="VZY158" s="1"/>
      <c r="VZZ158" s="1"/>
      <c r="WAA158" s="1"/>
      <c r="WAB158" s="14"/>
      <c r="WAM158" s="1"/>
      <c r="WAN158" s="1"/>
      <c r="WAO158" s="1"/>
      <c r="WAP158" s="1"/>
      <c r="WAQ158" s="1"/>
      <c r="WAR158" s="14"/>
      <c r="WBC158" s="1"/>
      <c r="WBD158" s="1"/>
      <c r="WBE158" s="1"/>
      <c r="WBF158" s="1"/>
      <c r="WBG158" s="1"/>
      <c r="WBH158" s="14"/>
      <c r="WBS158" s="1"/>
      <c r="WBT158" s="1"/>
      <c r="WBU158" s="1"/>
      <c r="WBV158" s="1"/>
      <c r="WBW158" s="1"/>
      <c r="WBX158" s="14"/>
      <c r="WCI158" s="1"/>
      <c r="WCJ158" s="1"/>
      <c r="WCK158" s="1"/>
      <c r="WCL158" s="1"/>
      <c r="WCM158" s="1"/>
      <c r="WCN158" s="14"/>
      <c r="WCY158" s="1"/>
      <c r="WCZ158" s="1"/>
      <c r="WDA158" s="1"/>
      <c r="WDB158" s="1"/>
      <c r="WDC158" s="1"/>
      <c r="WDD158" s="14"/>
      <c r="WDO158" s="1"/>
      <c r="WDP158" s="1"/>
      <c r="WDQ158" s="1"/>
      <c r="WDR158" s="1"/>
      <c r="WDS158" s="1"/>
      <c r="WDT158" s="14"/>
      <c r="WEE158" s="1"/>
      <c r="WEF158" s="1"/>
      <c r="WEG158" s="1"/>
      <c r="WEH158" s="1"/>
      <c r="WEI158" s="1"/>
      <c r="WEJ158" s="14"/>
      <c r="WEU158" s="1"/>
      <c r="WEV158" s="1"/>
      <c r="WEW158" s="1"/>
      <c r="WEX158" s="1"/>
      <c r="WEY158" s="1"/>
      <c r="WEZ158" s="14"/>
      <c r="WFK158" s="1"/>
      <c r="WFL158" s="1"/>
      <c r="WFM158" s="1"/>
      <c r="WFN158" s="1"/>
      <c r="WFO158" s="1"/>
      <c r="WFP158" s="14"/>
      <c r="WGA158" s="1"/>
      <c r="WGB158" s="1"/>
      <c r="WGC158" s="1"/>
      <c r="WGD158" s="1"/>
      <c r="WGE158" s="1"/>
      <c r="WGF158" s="14"/>
      <c r="WGQ158" s="1"/>
      <c r="WGR158" s="1"/>
      <c r="WGS158" s="1"/>
      <c r="WGT158" s="1"/>
      <c r="WGU158" s="1"/>
      <c r="WGV158" s="14"/>
      <c r="WHG158" s="1"/>
      <c r="WHH158" s="1"/>
      <c r="WHI158" s="1"/>
      <c r="WHJ158" s="1"/>
      <c r="WHK158" s="1"/>
      <c r="WHL158" s="14"/>
      <c r="WHW158" s="1"/>
      <c r="WHX158" s="1"/>
      <c r="WHY158" s="1"/>
      <c r="WHZ158" s="1"/>
      <c r="WIA158" s="1"/>
      <c r="WIB158" s="14"/>
      <c r="WIM158" s="1"/>
      <c r="WIN158" s="1"/>
      <c r="WIO158" s="1"/>
      <c r="WIP158" s="1"/>
      <c r="WIQ158" s="1"/>
      <c r="WIR158" s="14"/>
      <c r="WJC158" s="1"/>
      <c r="WJD158" s="1"/>
      <c r="WJE158" s="1"/>
      <c r="WJF158" s="1"/>
      <c r="WJG158" s="1"/>
      <c r="WJH158" s="14"/>
      <c r="WJS158" s="1"/>
      <c r="WJT158" s="1"/>
      <c r="WJU158" s="1"/>
      <c r="WJV158" s="1"/>
      <c r="WJW158" s="1"/>
      <c r="WJX158" s="14"/>
      <c r="WKI158" s="1"/>
      <c r="WKJ158" s="1"/>
      <c r="WKK158" s="1"/>
      <c r="WKL158" s="1"/>
      <c r="WKM158" s="1"/>
      <c r="WKN158" s="14"/>
      <c r="WKY158" s="1"/>
      <c r="WKZ158" s="1"/>
      <c r="WLA158" s="1"/>
      <c r="WLB158" s="1"/>
      <c r="WLC158" s="1"/>
      <c r="WLD158" s="14"/>
      <c r="WLO158" s="1"/>
      <c r="WLP158" s="1"/>
      <c r="WLQ158" s="1"/>
      <c r="WLR158" s="1"/>
      <c r="WLS158" s="1"/>
      <c r="WLT158" s="14"/>
      <c r="WME158" s="1"/>
      <c r="WMF158" s="1"/>
      <c r="WMG158" s="1"/>
      <c r="WMH158" s="1"/>
      <c r="WMI158" s="1"/>
      <c r="WMJ158" s="14"/>
      <c r="WMU158" s="1"/>
      <c r="WMV158" s="1"/>
      <c r="WMW158" s="1"/>
      <c r="WMX158" s="1"/>
      <c r="WMY158" s="1"/>
      <c r="WMZ158" s="14"/>
      <c r="WNK158" s="1"/>
      <c r="WNL158" s="1"/>
      <c r="WNM158" s="1"/>
      <c r="WNN158" s="1"/>
      <c r="WNO158" s="1"/>
      <c r="WNP158" s="14"/>
      <c r="WOA158" s="1"/>
      <c r="WOB158" s="1"/>
      <c r="WOC158" s="1"/>
      <c r="WOD158" s="1"/>
      <c r="WOE158" s="1"/>
      <c r="WOF158" s="14"/>
      <c r="WOQ158" s="1"/>
      <c r="WOR158" s="1"/>
      <c r="WOS158" s="1"/>
      <c r="WOT158" s="1"/>
      <c r="WOU158" s="1"/>
      <c r="WOV158" s="14"/>
      <c r="WPG158" s="1"/>
      <c r="WPH158" s="1"/>
      <c r="WPI158" s="1"/>
      <c r="WPJ158" s="1"/>
      <c r="WPK158" s="1"/>
      <c r="WPL158" s="14"/>
      <c r="WPW158" s="1"/>
      <c r="WPX158" s="1"/>
      <c r="WPY158" s="1"/>
      <c r="WPZ158" s="1"/>
      <c r="WQA158" s="1"/>
      <c r="WQB158" s="14"/>
      <c r="WQM158" s="1"/>
      <c r="WQN158" s="1"/>
      <c r="WQO158" s="1"/>
      <c r="WQP158" s="1"/>
      <c r="WQQ158" s="1"/>
      <c r="WQR158" s="14"/>
      <c r="WRC158" s="1"/>
      <c r="WRD158" s="1"/>
      <c r="WRE158" s="1"/>
      <c r="WRF158" s="1"/>
      <c r="WRG158" s="1"/>
      <c r="WRH158" s="14"/>
      <c r="WRS158" s="1"/>
      <c r="WRT158" s="1"/>
      <c r="WRU158" s="1"/>
      <c r="WRV158" s="1"/>
      <c r="WRW158" s="1"/>
      <c r="WRX158" s="14"/>
      <c r="WSI158" s="1"/>
      <c r="WSJ158" s="1"/>
      <c r="WSK158" s="1"/>
      <c r="WSL158" s="1"/>
      <c r="WSM158" s="1"/>
      <c r="WSN158" s="14"/>
      <c r="WSY158" s="1"/>
      <c r="WSZ158" s="1"/>
      <c r="WTA158" s="1"/>
      <c r="WTB158" s="1"/>
      <c r="WTC158" s="1"/>
      <c r="WTD158" s="14"/>
      <c r="WTO158" s="1"/>
      <c r="WTP158" s="1"/>
      <c r="WTQ158" s="1"/>
      <c r="WTR158" s="1"/>
      <c r="WTS158" s="1"/>
      <c r="WTT158" s="14"/>
      <c r="WUE158" s="1"/>
      <c r="WUF158" s="1"/>
      <c r="WUG158" s="1"/>
      <c r="WUH158" s="1"/>
      <c r="WUI158" s="1"/>
      <c r="WUJ158" s="14"/>
      <c r="WUU158" s="1"/>
      <c r="WUV158" s="1"/>
      <c r="WUW158" s="1"/>
      <c r="WUX158" s="1"/>
      <c r="WUY158" s="1"/>
      <c r="WUZ158" s="14"/>
      <c r="WVK158" s="1"/>
      <c r="WVL158" s="1"/>
      <c r="WVM158" s="1"/>
      <c r="WVN158" s="1"/>
      <c r="WVO158" s="1"/>
      <c r="WVP158" s="14"/>
      <c r="WWA158" s="1"/>
      <c r="WWB158" s="1"/>
      <c r="WWC158" s="1"/>
      <c r="WWD158" s="1"/>
      <c r="WWE158" s="1"/>
      <c r="WWF158" s="14"/>
      <c r="WWQ158" s="1"/>
      <c r="WWR158" s="1"/>
      <c r="WWS158" s="1"/>
      <c r="WWT158" s="1"/>
      <c r="WWU158" s="1"/>
      <c r="WWV158" s="14"/>
      <c r="WXG158" s="1"/>
      <c r="WXH158" s="1"/>
      <c r="WXI158" s="1"/>
      <c r="WXJ158" s="1"/>
      <c r="WXK158" s="1"/>
      <c r="WXL158" s="14"/>
      <c r="WXW158" s="1"/>
      <c r="WXX158" s="1"/>
      <c r="WXY158" s="1"/>
      <c r="WXZ158" s="1"/>
      <c r="WYA158" s="1"/>
      <c r="WYB158" s="14"/>
      <c r="WYM158" s="1"/>
      <c r="WYN158" s="1"/>
      <c r="WYO158" s="1"/>
      <c r="WYP158" s="1"/>
      <c r="WYQ158" s="1"/>
      <c r="WYR158" s="14"/>
      <c r="WZC158" s="1"/>
      <c r="WZD158" s="1"/>
      <c r="WZE158" s="1"/>
      <c r="WZF158" s="1"/>
      <c r="WZG158" s="1"/>
      <c r="WZH158" s="14"/>
      <c r="WZS158" s="1"/>
      <c r="WZT158" s="1"/>
      <c r="WZU158" s="1"/>
      <c r="WZV158" s="1"/>
      <c r="WZW158" s="1"/>
      <c r="WZX158" s="14"/>
      <c r="XAI158" s="1"/>
      <c r="XAJ158" s="1"/>
      <c r="XAK158" s="1"/>
      <c r="XAL158" s="1"/>
      <c r="XAM158" s="1"/>
      <c r="XAN158" s="14"/>
      <c r="XAY158" s="1"/>
      <c r="XAZ158" s="1"/>
      <c r="XBA158" s="1"/>
      <c r="XBB158" s="1"/>
      <c r="XBC158" s="1"/>
      <c r="XBD158" s="14"/>
      <c r="XBO158" s="1"/>
      <c r="XBP158" s="1"/>
      <c r="XBQ158" s="1"/>
      <c r="XBR158" s="1"/>
      <c r="XBS158" s="1"/>
      <c r="XBT158" s="14"/>
      <c r="XCE158" s="1"/>
      <c r="XCF158" s="1"/>
      <c r="XCG158" s="1"/>
      <c r="XCH158" s="1"/>
      <c r="XCI158" s="1"/>
      <c r="XCJ158" s="14"/>
      <c r="XCU158" s="1"/>
      <c r="XCV158" s="1"/>
      <c r="XCW158" s="1"/>
      <c r="XCX158" s="1"/>
      <c r="XCY158" s="1"/>
      <c r="XCZ158" s="14"/>
      <c r="XDK158" s="1"/>
      <c r="XDL158" s="1"/>
      <c r="XDM158" s="1"/>
      <c r="XDN158" s="1"/>
      <c r="XDO158" s="1"/>
      <c r="XDP158" s="14"/>
      <c r="XEA158" s="1"/>
      <c r="XEB158" s="1"/>
      <c r="XEC158" s="1"/>
      <c r="XED158" s="1"/>
      <c r="XEE158" s="1"/>
      <c r="XEF158" s="14"/>
      <c r="XEQ158" s="1"/>
      <c r="XER158" s="1"/>
      <c r="XES158" s="1"/>
      <c r="XET158" s="1"/>
      <c r="XEU158" s="1"/>
      <c r="XEV158" s="14"/>
    </row>
    <row r="159" spans="1:1016 1027:2040 2051:3064 3075:4088 4099:5112 5123:6136 6147:7160 7171:8184 8195:9208 9219:10232 10243:11256 11267:12280 12291:13304 13315:14328 14339:15352 15363:16376" s="51" customFormat="1" ht="14.4" x14ac:dyDescent="0.2">
      <c r="A159" s="77" t="s">
        <v>34</v>
      </c>
      <c r="B159" s="78"/>
      <c r="C159" s="79"/>
      <c r="D159" s="32"/>
      <c r="E159" s="33"/>
      <c r="F159" s="49"/>
      <c r="G159" s="41" cm="1">
        <f t="array" ref="G159">SUM(G102:G119*$S102:$S119*$T102:$T119)</f>
        <v>0</v>
      </c>
      <c r="H159" s="41" cm="1">
        <f t="array" ref="H159">SUM(H102:H119*$S102:$S119*$T102:$T119)</f>
        <v>0</v>
      </c>
      <c r="I159" s="41" cm="1">
        <f t="array" ref="I159">SUM(I102:I119*$S102:$S119*$T102:$T119)</f>
        <v>0</v>
      </c>
      <c r="J159" s="41" cm="1">
        <f t="array" ref="J159">SUM(J102:J119*$S102:$S119*$T102:$T119)</f>
        <v>0</v>
      </c>
      <c r="K159" s="41" cm="1">
        <f t="array" ref="K159">SUM(K102:K119*$S102:$S119*$T102:$T119)</f>
        <v>0</v>
      </c>
      <c r="L159" s="41" cm="1">
        <f t="array" ref="L159">SUM(L102:L119*$S102:$S119*$T102:$T119)</f>
        <v>0</v>
      </c>
      <c r="M159" s="41" cm="1">
        <f t="array" ref="M159">SUM(M102:M119*$S102:$S119*$T102:$T119)</f>
        <v>0</v>
      </c>
      <c r="N159" s="41" cm="1">
        <f t="array" ref="N159">SUM(N102:N119*$S102:$S119*$T102:$T119)</f>
        <v>0</v>
      </c>
      <c r="O159" s="41" cm="1">
        <f t="array" ref="O159">SUM(O102:O119*$S102:$S119*$T102:$T119)</f>
        <v>0</v>
      </c>
      <c r="P159" s="41" cm="1">
        <f t="array" ref="P159">SUM(P102:P119*$S102:$S119*$T102:$T119)</f>
        <v>0</v>
      </c>
      <c r="Q159" s="41" cm="1">
        <f t="array" ref="Q159">SUM(Q102:Q119*$S102:$S119*$T102:$T119)</f>
        <v>0</v>
      </c>
      <c r="R159" s="44" cm="1">
        <f t="array" ref="R159">SUM(R102:R119*$S102:$S119*$T102:$T119)</f>
        <v>0</v>
      </c>
      <c r="S159" s="1"/>
      <c r="T159" s="1"/>
      <c r="U159" s="1"/>
      <c r="V159" s="1"/>
      <c r="W159" s="1"/>
      <c r="X159" s="14"/>
      <c r="AI159" s="1"/>
      <c r="AJ159" s="1"/>
      <c r="AK159" s="1"/>
      <c r="AL159" s="1"/>
      <c r="AM159" s="1"/>
      <c r="AN159" s="14"/>
      <c r="AY159" s="1"/>
      <c r="AZ159" s="1"/>
      <c r="BA159" s="1"/>
      <c r="BB159" s="1"/>
      <c r="BC159" s="1"/>
      <c r="BD159" s="14"/>
      <c r="BO159" s="1"/>
      <c r="BP159" s="1"/>
      <c r="BQ159" s="1"/>
      <c r="BR159" s="1"/>
      <c r="BS159" s="1"/>
      <c r="BT159" s="14"/>
      <c r="CE159" s="1"/>
      <c r="CF159" s="1"/>
      <c r="CG159" s="1"/>
      <c r="CH159" s="1"/>
      <c r="CI159" s="1"/>
      <c r="CJ159" s="14"/>
      <c r="CU159" s="1"/>
      <c r="CV159" s="1"/>
      <c r="CW159" s="1"/>
      <c r="CX159" s="1"/>
      <c r="CY159" s="1"/>
      <c r="CZ159" s="14"/>
      <c r="DK159" s="1"/>
      <c r="DL159" s="1"/>
      <c r="DM159" s="1"/>
      <c r="DN159" s="1"/>
      <c r="DO159" s="1"/>
      <c r="DP159" s="14"/>
      <c r="EA159" s="1"/>
      <c r="EB159" s="1"/>
      <c r="EC159" s="1"/>
      <c r="ED159" s="1"/>
      <c r="EE159" s="1"/>
      <c r="EF159" s="14"/>
      <c r="EQ159" s="1"/>
      <c r="ER159" s="1"/>
      <c r="ES159" s="1"/>
      <c r="ET159" s="1"/>
      <c r="EU159" s="1"/>
      <c r="EV159" s="14"/>
      <c r="FG159" s="1"/>
      <c r="FH159" s="1"/>
      <c r="FI159" s="1"/>
      <c r="FJ159" s="1"/>
      <c r="FK159" s="1"/>
      <c r="FL159" s="14"/>
      <c r="FW159" s="1"/>
      <c r="FX159" s="1"/>
      <c r="FY159" s="1"/>
      <c r="FZ159" s="1"/>
      <c r="GA159" s="1"/>
      <c r="GB159" s="14"/>
      <c r="GM159" s="1"/>
      <c r="GN159" s="1"/>
      <c r="GO159" s="1"/>
      <c r="GP159" s="1"/>
      <c r="GQ159" s="1"/>
      <c r="GR159" s="14"/>
      <c r="HC159" s="1"/>
      <c r="HD159" s="1"/>
      <c r="HE159" s="1"/>
      <c r="HF159" s="1"/>
      <c r="HG159" s="1"/>
      <c r="HH159" s="14"/>
      <c r="HS159" s="1"/>
      <c r="HT159" s="1"/>
      <c r="HU159" s="1"/>
      <c r="HV159" s="1"/>
      <c r="HW159" s="1"/>
      <c r="HX159" s="14"/>
      <c r="II159" s="1"/>
      <c r="IJ159" s="1"/>
      <c r="IK159" s="1"/>
      <c r="IL159" s="1"/>
      <c r="IM159" s="1"/>
      <c r="IN159" s="14"/>
      <c r="IY159" s="1"/>
      <c r="IZ159" s="1"/>
      <c r="JA159" s="1"/>
      <c r="JB159" s="1"/>
      <c r="JC159" s="1"/>
      <c r="JD159" s="14"/>
      <c r="JO159" s="1"/>
      <c r="JP159" s="1"/>
      <c r="JQ159" s="1"/>
      <c r="JR159" s="1"/>
      <c r="JS159" s="1"/>
      <c r="JT159" s="14"/>
      <c r="KE159" s="1"/>
      <c r="KF159" s="1"/>
      <c r="KG159" s="1"/>
      <c r="KH159" s="1"/>
      <c r="KI159" s="1"/>
      <c r="KJ159" s="14"/>
      <c r="KU159" s="1"/>
      <c r="KV159" s="1"/>
      <c r="KW159" s="1"/>
      <c r="KX159" s="1"/>
      <c r="KY159" s="1"/>
      <c r="KZ159" s="14"/>
      <c r="LK159" s="1"/>
      <c r="LL159" s="1"/>
      <c r="LM159" s="1"/>
      <c r="LN159" s="1"/>
      <c r="LO159" s="1"/>
      <c r="LP159" s="14"/>
      <c r="MA159" s="1"/>
      <c r="MB159" s="1"/>
      <c r="MC159" s="1"/>
      <c r="MD159" s="1"/>
      <c r="ME159" s="1"/>
      <c r="MF159" s="14"/>
      <c r="MQ159" s="1"/>
      <c r="MR159" s="1"/>
      <c r="MS159" s="1"/>
      <c r="MT159" s="1"/>
      <c r="MU159" s="1"/>
      <c r="MV159" s="14"/>
      <c r="NG159" s="1"/>
      <c r="NH159" s="1"/>
      <c r="NI159" s="1"/>
      <c r="NJ159" s="1"/>
      <c r="NK159" s="1"/>
      <c r="NL159" s="14"/>
      <c r="NW159" s="1"/>
      <c r="NX159" s="1"/>
      <c r="NY159" s="1"/>
      <c r="NZ159" s="1"/>
      <c r="OA159" s="1"/>
      <c r="OB159" s="14"/>
      <c r="OM159" s="1"/>
      <c r="ON159" s="1"/>
      <c r="OO159" s="1"/>
      <c r="OP159" s="1"/>
      <c r="OQ159" s="1"/>
      <c r="OR159" s="14"/>
      <c r="PC159" s="1"/>
      <c r="PD159" s="1"/>
      <c r="PE159" s="1"/>
      <c r="PF159" s="1"/>
      <c r="PG159" s="1"/>
      <c r="PH159" s="14"/>
      <c r="PS159" s="1"/>
      <c r="PT159" s="1"/>
      <c r="PU159" s="1"/>
      <c r="PV159" s="1"/>
      <c r="PW159" s="1"/>
      <c r="PX159" s="14"/>
      <c r="QI159" s="1"/>
      <c r="QJ159" s="1"/>
      <c r="QK159" s="1"/>
      <c r="QL159" s="1"/>
      <c r="QM159" s="1"/>
      <c r="QN159" s="14"/>
      <c r="QY159" s="1"/>
      <c r="QZ159" s="1"/>
      <c r="RA159" s="1"/>
      <c r="RB159" s="1"/>
      <c r="RC159" s="1"/>
      <c r="RD159" s="14"/>
      <c r="RO159" s="1"/>
      <c r="RP159" s="1"/>
      <c r="RQ159" s="1"/>
      <c r="RR159" s="1"/>
      <c r="RS159" s="1"/>
      <c r="RT159" s="14"/>
      <c r="SE159" s="1"/>
      <c r="SF159" s="1"/>
      <c r="SG159" s="1"/>
      <c r="SH159" s="1"/>
      <c r="SI159" s="1"/>
      <c r="SJ159" s="14"/>
      <c r="SU159" s="1"/>
      <c r="SV159" s="1"/>
      <c r="SW159" s="1"/>
      <c r="SX159" s="1"/>
      <c r="SY159" s="1"/>
      <c r="SZ159" s="14"/>
      <c r="TK159" s="1"/>
      <c r="TL159" s="1"/>
      <c r="TM159" s="1"/>
      <c r="TN159" s="1"/>
      <c r="TO159" s="1"/>
      <c r="TP159" s="14"/>
      <c r="UA159" s="1"/>
      <c r="UB159" s="1"/>
      <c r="UC159" s="1"/>
      <c r="UD159" s="1"/>
      <c r="UE159" s="1"/>
      <c r="UF159" s="14"/>
      <c r="UQ159" s="1"/>
      <c r="UR159" s="1"/>
      <c r="US159" s="1"/>
      <c r="UT159" s="1"/>
      <c r="UU159" s="1"/>
      <c r="UV159" s="14"/>
      <c r="VG159" s="1"/>
      <c r="VH159" s="1"/>
      <c r="VI159" s="1"/>
      <c r="VJ159" s="1"/>
      <c r="VK159" s="1"/>
      <c r="VL159" s="14"/>
      <c r="VW159" s="1"/>
      <c r="VX159" s="1"/>
      <c r="VY159" s="1"/>
      <c r="VZ159" s="1"/>
      <c r="WA159" s="1"/>
      <c r="WB159" s="14"/>
      <c r="WM159" s="1"/>
      <c r="WN159" s="1"/>
      <c r="WO159" s="1"/>
      <c r="WP159" s="1"/>
      <c r="WQ159" s="1"/>
      <c r="WR159" s="14"/>
      <c r="XC159" s="1"/>
      <c r="XD159" s="1"/>
      <c r="XE159" s="1"/>
      <c r="XF159" s="1"/>
      <c r="XG159" s="1"/>
      <c r="XH159" s="14"/>
      <c r="XS159" s="1"/>
      <c r="XT159" s="1"/>
      <c r="XU159" s="1"/>
      <c r="XV159" s="1"/>
      <c r="XW159" s="1"/>
      <c r="XX159" s="14"/>
      <c r="YI159" s="1"/>
      <c r="YJ159" s="1"/>
      <c r="YK159" s="1"/>
      <c r="YL159" s="1"/>
      <c r="YM159" s="1"/>
      <c r="YN159" s="14"/>
      <c r="YY159" s="1"/>
      <c r="YZ159" s="1"/>
      <c r="ZA159" s="1"/>
      <c r="ZB159" s="1"/>
      <c r="ZC159" s="1"/>
      <c r="ZD159" s="14"/>
      <c r="ZO159" s="1"/>
      <c r="ZP159" s="1"/>
      <c r="ZQ159" s="1"/>
      <c r="ZR159" s="1"/>
      <c r="ZS159" s="1"/>
      <c r="ZT159" s="14"/>
      <c r="AAE159" s="1"/>
      <c r="AAF159" s="1"/>
      <c r="AAG159" s="1"/>
      <c r="AAH159" s="1"/>
      <c r="AAI159" s="1"/>
      <c r="AAJ159" s="14"/>
      <c r="AAU159" s="1"/>
      <c r="AAV159" s="1"/>
      <c r="AAW159" s="1"/>
      <c r="AAX159" s="1"/>
      <c r="AAY159" s="1"/>
      <c r="AAZ159" s="14"/>
      <c r="ABK159" s="1"/>
      <c r="ABL159" s="1"/>
      <c r="ABM159" s="1"/>
      <c r="ABN159" s="1"/>
      <c r="ABO159" s="1"/>
      <c r="ABP159" s="14"/>
      <c r="ACA159" s="1"/>
      <c r="ACB159" s="1"/>
      <c r="ACC159" s="1"/>
      <c r="ACD159" s="1"/>
      <c r="ACE159" s="1"/>
      <c r="ACF159" s="14"/>
      <c r="ACQ159" s="1"/>
      <c r="ACR159" s="1"/>
      <c r="ACS159" s="1"/>
      <c r="ACT159" s="1"/>
      <c r="ACU159" s="1"/>
      <c r="ACV159" s="14"/>
      <c r="ADG159" s="1"/>
      <c r="ADH159" s="1"/>
      <c r="ADI159" s="1"/>
      <c r="ADJ159" s="1"/>
      <c r="ADK159" s="1"/>
      <c r="ADL159" s="14"/>
      <c r="ADW159" s="1"/>
      <c r="ADX159" s="1"/>
      <c r="ADY159" s="1"/>
      <c r="ADZ159" s="1"/>
      <c r="AEA159" s="1"/>
      <c r="AEB159" s="14"/>
      <c r="AEM159" s="1"/>
      <c r="AEN159" s="1"/>
      <c r="AEO159" s="1"/>
      <c r="AEP159" s="1"/>
      <c r="AEQ159" s="1"/>
      <c r="AER159" s="14"/>
      <c r="AFC159" s="1"/>
      <c r="AFD159" s="1"/>
      <c r="AFE159" s="1"/>
      <c r="AFF159" s="1"/>
      <c r="AFG159" s="1"/>
      <c r="AFH159" s="14"/>
      <c r="AFS159" s="1"/>
      <c r="AFT159" s="1"/>
      <c r="AFU159" s="1"/>
      <c r="AFV159" s="1"/>
      <c r="AFW159" s="1"/>
      <c r="AFX159" s="14"/>
      <c r="AGI159" s="1"/>
      <c r="AGJ159" s="1"/>
      <c r="AGK159" s="1"/>
      <c r="AGL159" s="1"/>
      <c r="AGM159" s="1"/>
      <c r="AGN159" s="14"/>
      <c r="AGY159" s="1"/>
      <c r="AGZ159" s="1"/>
      <c r="AHA159" s="1"/>
      <c r="AHB159" s="1"/>
      <c r="AHC159" s="1"/>
      <c r="AHD159" s="14"/>
      <c r="AHO159" s="1"/>
      <c r="AHP159" s="1"/>
      <c r="AHQ159" s="1"/>
      <c r="AHR159" s="1"/>
      <c r="AHS159" s="1"/>
      <c r="AHT159" s="14"/>
      <c r="AIE159" s="1"/>
      <c r="AIF159" s="1"/>
      <c r="AIG159" s="1"/>
      <c r="AIH159" s="1"/>
      <c r="AII159" s="1"/>
      <c r="AIJ159" s="14"/>
      <c r="AIU159" s="1"/>
      <c r="AIV159" s="1"/>
      <c r="AIW159" s="1"/>
      <c r="AIX159" s="1"/>
      <c r="AIY159" s="1"/>
      <c r="AIZ159" s="14"/>
      <c r="AJK159" s="1"/>
      <c r="AJL159" s="1"/>
      <c r="AJM159" s="1"/>
      <c r="AJN159" s="1"/>
      <c r="AJO159" s="1"/>
      <c r="AJP159" s="14"/>
      <c r="AKA159" s="1"/>
      <c r="AKB159" s="1"/>
      <c r="AKC159" s="1"/>
      <c r="AKD159" s="1"/>
      <c r="AKE159" s="1"/>
      <c r="AKF159" s="14"/>
      <c r="AKQ159" s="1"/>
      <c r="AKR159" s="1"/>
      <c r="AKS159" s="1"/>
      <c r="AKT159" s="1"/>
      <c r="AKU159" s="1"/>
      <c r="AKV159" s="14"/>
      <c r="ALG159" s="1"/>
      <c r="ALH159" s="1"/>
      <c r="ALI159" s="1"/>
      <c r="ALJ159" s="1"/>
      <c r="ALK159" s="1"/>
      <c r="ALL159" s="14"/>
      <c r="ALW159" s="1"/>
      <c r="ALX159" s="1"/>
      <c r="ALY159" s="1"/>
      <c r="ALZ159" s="1"/>
      <c r="AMA159" s="1"/>
      <c r="AMB159" s="14"/>
      <c r="AMM159" s="1"/>
      <c r="AMN159" s="1"/>
      <c r="AMO159" s="1"/>
      <c r="AMP159" s="1"/>
      <c r="AMQ159" s="1"/>
      <c r="AMR159" s="14"/>
      <c r="ANC159" s="1"/>
      <c r="AND159" s="1"/>
      <c r="ANE159" s="1"/>
      <c r="ANF159" s="1"/>
      <c r="ANG159" s="1"/>
      <c r="ANH159" s="14"/>
      <c r="ANS159" s="1"/>
      <c r="ANT159" s="1"/>
      <c r="ANU159" s="1"/>
      <c r="ANV159" s="1"/>
      <c r="ANW159" s="1"/>
      <c r="ANX159" s="14"/>
      <c r="AOI159" s="1"/>
      <c r="AOJ159" s="1"/>
      <c r="AOK159" s="1"/>
      <c r="AOL159" s="1"/>
      <c r="AOM159" s="1"/>
      <c r="AON159" s="14"/>
      <c r="AOY159" s="1"/>
      <c r="AOZ159" s="1"/>
      <c r="APA159" s="1"/>
      <c r="APB159" s="1"/>
      <c r="APC159" s="1"/>
      <c r="APD159" s="14"/>
      <c r="APO159" s="1"/>
      <c r="APP159" s="1"/>
      <c r="APQ159" s="1"/>
      <c r="APR159" s="1"/>
      <c r="APS159" s="1"/>
      <c r="APT159" s="14"/>
      <c r="AQE159" s="1"/>
      <c r="AQF159" s="1"/>
      <c r="AQG159" s="1"/>
      <c r="AQH159" s="1"/>
      <c r="AQI159" s="1"/>
      <c r="AQJ159" s="14"/>
      <c r="AQU159" s="1"/>
      <c r="AQV159" s="1"/>
      <c r="AQW159" s="1"/>
      <c r="AQX159" s="1"/>
      <c r="AQY159" s="1"/>
      <c r="AQZ159" s="14"/>
      <c r="ARK159" s="1"/>
      <c r="ARL159" s="1"/>
      <c r="ARM159" s="1"/>
      <c r="ARN159" s="1"/>
      <c r="ARO159" s="1"/>
      <c r="ARP159" s="14"/>
      <c r="ASA159" s="1"/>
      <c r="ASB159" s="1"/>
      <c r="ASC159" s="1"/>
      <c r="ASD159" s="1"/>
      <c r="ASE159" s="1"/>
      <c r="ASF159" s="14"/>
      <c r="ASQ159" s="1"/>
      <c r="ASR159" s="1"/>
      <c r="ASS159" s="1"/>
      <c r="AST159" s="1"/>
      <c r="ASU159" s="1"/>
      <c r="ASV159" s="14"/>
      <c r="ATG159" s="1"/>
      <c r="ATH159" s="1"/>
      <c r="ATI159" s="1"/>
      <c r="ATJ159" s="1"/>
      <c r="ATK159" s="1"/>
      <c r="ATL159" s="14"/>
      <c r="ATW159" s="1"/>
      <c r="ATX159" s="1"/>
      <c r="ATY159" s="1"/>
      <c r="ATZ159" s="1"/>
      <c r="AUA159" s="1"/>
      <c r="AUB159" s="14"/>
      <c r="AUM159" s="1"/>
      <c r="AUN159" s="1"/>
      <c r="AUO159" s="1"/>
      <c r="AUP159" s="1"/>
      <c r="AUQ159" s="1"/>
      <c r="AUR159" s="14"/>
      <c r="AVC159" s="1"/>
      <c r="AVD159" s="1"/>
      <c r="AVE159" s="1"/>
      <c r="AVF159" s="1"/>
      <c r="AVG159" s="1"/>
      <c r="AVH159" s="14"/>
      <c r="AVS159" s="1"/>
      <c r="AVT159" s="1"/>
      <c r="AVU159" s="1"/>
      <c r="AVV159" s="1"/>
      <c r="AVW159" s="1"/>
      <c r="AVX159" s="14"/>
      <c r="AWI159" s="1"/>
      <c r="AWJ159" s="1"/>
      <c r="AWK159" s="1"/>
      <c r="AWL159" s="1"/>
      <c r="AWM159" s="1"/>
      <c r="AWN159" s="14"/>
      <c r="AWY159" s="1"/>
      <c r="AWZ159" s="1"/>
      <c r="AXA159" s="1"/>
      <c r="AXB159" s="1"/>
      <c r="AXC159" s="1"/>
      <c r="AXD159" s="14"/>
      <c r="AXO159" s="1"/>
      <c r="AXP159" s="1"/>
      <c r="AXQ159" s="1"/>
      <c r="AXR159" s="1"/>
      <c r="AXS159" s="1"/>
      <c r="AXT159" s="14"/>
      <c r="AYE159" s="1"/>
      <c r="AYF159" s="1"/>
      <c r="AYG159" s="1"/>
      <c r="AYH159" s="1"/>
      <c r="AYI159" s="1"/>
      <c r="AYJ159" s="14"/>
      <c r="AYU159" s="1"/>
      <c r="AYV159" s="1"/>
      <c r="AYW159" s="1"/>
      <c r="AYX159" s="1"/>
      <c r="AYY159" s="1"/>
      <c r="AYZ159" s="14"/>
      <c r="AZK159" s="1"/>
      <c r="AZL159" s="1"/>
      <c r="AZM159" s="1"/>
      <c r="AZN159" s="1"/>
      <c r="AZO159" s="1"/>
      <c r="AZP159" s="14"/>
      <c r="BAA159" s="1"/>
      <c r="BAB159" s="1"/>
      <c r="BAC159" s="1"/>
      <c r="BAD159" s="1"/>
      <c r="BAE159" s="1"/>
      <c r="BAF159" s="14"/>
      <c r="BAQ159" s="1"/>
      <c r="BAR159" s="1"/>
      <c r="BAS159" s="1"/>
      <c r="BAT159" s="1"/>
      <c r="BAU159" s="1"/>
      <c r="BAV159" s="14"/>
      <c r="BBG159" s="1"/>
      <c r="BBH159" s="1"/>
      <c r="BBI159" s="1"/>
      <c r="BBJ159" s="1"/>
      <c r="BBK159" s="1"/>
      <c r="BBL159" s="14"/>
      <c r="BBW159" s="1"/>
      <c r="BBX159" s="1"/>
      <c r="BBY159" s="1"/>
      <c r="BBZ159" s="1"/>
      <c r="BCA159" s="1"/>
      <c r="BCB159" s="14"/>
      <c r="BCM159" s="1"/>
      <c r="BCN159" s="1"/>
      <c r="BCO159" s="1"/>
      <c r="BCP159" s="1"/>
      <c r="BCQ159" s="1"/>
      <c r="BCR159" s="14"/>
      <c r="BDC159" s="1"/>
      <c r="BDD159" s="1"/>
      <c r="BDE159" s="1"/>
      <c r="BDF159" s="1"/>
      <c r="BDG159" s="1"/>
      <c r="BDH159" s="14"/>
      <c r="BDS159" s="1"/>
      <c r="BDT159" s="1"/>
      <c r="BDU159" s="1"/>
      <c r="BDV159" s="1"/>
      <c r="BDW159" s="1"/>
      <c r="BDX159" s="14"/>
      <c r="BEI159" s="1"/>
      <c r="BEJ159" s="1"/>
      <c r="BEK159" s="1"/>
      <c r="BEL159" s="1"/>
      <c r="BEM159" s="1"/>
      <c r="BEN159" s="14"/>
      <c r="BEY159" s="1"/>
      <c r="BEZ159" s="1"/>
      <c r="BFA159" s="1"/>
      <c r="BFB159" s="1"/>
      <c r="BFC159" s="1"/>
      <c r="BFD159" s="14"/>
      <c r="BFO159" s="1"/>
      <c r="BFP159" s="1"/>
      <c r="BFQ159" s="1"/>
      <c r="BFR159" s="1"/>
      <c r="BFS159" s="1"/>
      <c r="BFT159" s="14"/>
      <c r="BGE159" s="1"/>
      <c r="BGF159" s="1"/>
      <c r="BGG159" s="1"/>
      <c r="BGH159" s="1"/>
      <c r="BGI159" s="1"/>
      <c r="BGJ159" s="14"/>
      <c r="BGU159" s="1"/>
      <c r="BGV159" s="1"/>
      <c r="BGW159" s="1"/>
      <c r="BGX159" s="1"/>
      <c r="BGY159" s="1"/>
      <c r="BGZ159" s="14"/>
      <c r="BHK159" s="1"/>
      <c r="BHL159" s="1"/>
      <c r="BHM159" s="1"/>
      <c r="BHN159" s="1"/>
      <c r="BHO159" s="1"/>
      <c r="BHP159" s="14"/>
      <c r="BIA159" s="1"/>
      <c r="BIB159" s="1"/>
      <c r="BIC159" s="1"/>
      <c r="BID159" s="1"/>
      <c r="BIE159" s="1"/>
      <c r="BIF159" s="14"/>
      <c r="BIQ159" s="1"/>
      <c r="BIR159" s="1"/>
      <c r="BIS159" s="1"/>
      <c r="BIT159" s="1"/>
      <c r="BIU159" s="1"/>
      <c r="BIV159" s="14"/>
      <c r="BJG159" s="1"/>
      <c r="BJH159" s="1"/>
      <c r="BJI159" s="1"/>
      <c r="BJJ159" s="1"/>
      <c r="BJK159" s="1"/>
      <c r="BJL159" s="14"/>
      <c r="BJW159" s="1"/>
      <c r="BJX159" s="1"/>
      <c r="BJY159" s="1"/>
      <c r="BJZ159" s="1"/>
      <c r="BKA159" s="1"/>
      <c r="BKB159" s="14"/>
      <c r="BKM159" s="1"/>
      <c r="BKN159" s="1"/>
      <c r="BKO159" s="1"/>
      <c r="BKP159" s="1"/>
      <c r="BKQ159" s="1"/>
      <c r="BKR159" s="14"/>
      <c r="BLC159" s="1"/>
      <c r="BLD159" s="1"/>
      <c r="BLE159" s="1"/>
      <c r="BLF159" s="1"/>
      <c r="BLG159" s="1"/>
      <c r="BLH159" s="14"/>
      <c r="BLS159" s="1"/>
      <c r="BLT159" s="1"/>
      <c r="BLU159" s="1"/>
      <c r="BLV159" s="1"/>
      <c r="BLW159" s="1"/>
      <c r="BLX159" s="14"/>
      <c r="BMI159" s="1"/>
      <c r="BMJ159" s="1"/>
      <c r="BMK159" s="1"/>
      <c r="BML159" s="1"/>
      <c r="BMM159" s="1"/>
      <c r="BMN159" s="14"/>
      <c r="BMY159" s="1"/>
      <c r="BMZ159" s="1"/>
      <c r="BNA159" s="1"/>
      <c r="BNB159" s="1"/>
      <c r="BNC159" s="1"/>
      <c r="BND159" s="14"/>
      <c r="BNO159" s="1"/>
      <c r="BNP159" s="1"/>
      <c r="BNQ159" s="1"/>
      <c r="BNR159" s="1"/>
      <c r="BNS159" s="1"/>
      <c r="BNT159" s="14"/>
      <c r="BOE159" s="1"/>
      <c r="BOF159" s="1"/>
      <c r="BOG159" s="1"/>
      <c r="BOH159" s="1"/>
      <c r="BOI159" s="1"/>
      <c r="BOJ159" s="14"/>
      <c r="BOU159" s="1"/>
      <c r="BOV159" s="1"/>
      <c r="BOW159" s="1"/>
      <c r="BOX159" s="1"/>
      <c r="BOY159" s="1"/>
      <c r="BOZ159" s="14"/>
      <c r="BPK159" s="1"/>
      <c r="BPL159" s="1"/>
      <c r="BPM159" s="1"/>
      <c r="BPN159" s="1"/>
      <c r="BPO159" s="1"/>
      <c r="BPP159" s="14"/>
      <c r="BQA159" s="1"/>
      <c r="BQB159" s="1"/>
      <c r="BQC159" s="1"/>
      <c r="BQD159" s="1"/>
      <c r="BQE159" s="1"/>
      <c r="BQF159" s="14"/>
      <c r="BQQ159" s="1"/>
      <c r="BQR159" s="1"/>
      <c r="BQS159" s="1"/>
      <c r="BQT159" s="1"/>
      <c r="BQU159" s="1"/>
      <c r="BQV159" s="14"/>
      <c r="BRG159" s="1"/>
      <c r="BRH159" s="1"/>
      <c r="BRI159" s="1"/>
      <c r="BRJ159" s="1"/>
      <c r="BRK159" s="1"/>
      <c r="BRL159" s="14"/>
      <c r="BRW159" s="1"/>
      <c r="BRX159" s="1"/>
      <c r="BRY159" s="1"/>
      <c r="BRZ159" s="1"/>
      <c r="BSA159" s="1"/>
      <c r="BSB159" s="14"/>
      <c r="BSM159" s="1"/>
      <c r="BSN159" s="1"/>
      <c r="BSO159" s="1"/>
      <c r="BSP159" s="1"/>
      <c r="BSQ159" s="1"/>
      <c r="BSR159" s="14"/>
      <c r="BTC159" s="1"/>
      <c r="BTD159" s="1"/>
      <c r="BTE159" s="1"/>
      <c r="BTF159" s="1"/>
      <c r="BTG159" s="1"/>
      <c r="BTH159" s="14"/>
      <c r="BTS159" s="1"/>
      <c r="BTT159" s="1"/>
      <c r="BTU159" s="1"/>
      <c r="BTV159" s="1"/>
      <c r="BTW159" s="1"/>
      <c r="BTX159" s="14"/>
      <c r="BUI159" s="1"/>
      <c r="BUJ159" s="1"/>
      <c r="BUK159" s="1"/>
      <c r="BUL159" s="1"/>
      <c r="BUM159" s="1"/>
      <c r="BUN159" s="14"/>
      <c r="BUY159" s="1"/>
      <c r="BUZ159" s="1"/>
      <c r="BVA159" s="1"/>
      <c r="BVB159" s="1"/>
      <c r="BVC159" s="1"/>
      <c r="BVD159" s="14"/>
      <c r="BVO159" s="1"/>
      <c r="BVP159" s="1"/>
      <c r="BVQ159" s="1"/>
      <c r="BVR159" s="1"/>
      <c r="BVS159" s="1"/>
      <c r="BVT159" s="14"/>
      <c r="BWE159" s="1"/>
      <c r="BWF159" s="1"/>
      <c r="BWG159" s="1"/>
      <c r="BWH159" s="1"/>
      <c r="BWI159" s="1"/>
      <c r="BWJ159" s="14"/>
      <c r="BWU159" s="1"/>
      <c r="BWV159" s="1"/>
      <c r="BWW159" s="1"/>
      <c r="BWX159" s="1"/>
      <c r="BWY159" s="1"/>
      <c r="BWZ159" s="14"/>
      <c r="BXK159" s="1"/>
      <c r="BXL159" s="1"/>
      <c r="BXM159" s="1"/>
      <c r="BXN159" s="1"/>
      <c r="BXO159" s="1"/>
      <c r="BXP159" s="14"/>
      <c r="BYA159" s="1"/>
      <c r="BYB159" s="1"/>
      <c r="BYC159" s="1"/>
      <c r="BYD159" s="1"/>
      <c r="BYE159" s="1"/>
      <c r="BYF159" s="14"/>
      <c r="BYQ159" s="1"/>
      <c r="BYR159" s="1"/>
      <c r="BYS159" s="1"/>
      <c r="BYT159" s="1"/>
      <c r="BYU159" s="1"/>
      <c r="BYV159" s="14"/>
      <c r="BZG159" s="1"/>
      <c r="BZH159" s="1"/>
      <c r="BZI159" s="1"/>
      <c r="BZJ159" s="1"/>
      <c r="BZK159" s="1"/>
      <c r="BZL159" s="14"/>
      <c r="BZW159" s="1"/>
      <c r="BZX159" s="1"/>
      <c r="BZY159" s="1"/>
      <c r="BZZ159" s="1"/>
      <c r="CAA159" s="1"/>
      <c r="CAB159" s="14"/>
      <c r="CAM159" s="1"/>
      <c r="CAN159" s="1"/>
      <c r="CAO159" s="1"/>
      <c r="CAP159" s="1"/>
      <c r="CAQ159" s="1"/>
      <c r="CAR159" s="14"/>
      <c r="CBC159" s="1"/>
      <c r="CBD159" s="1"/>
      <c r="CBE159" s="1"/>
      <c r="CBF159" s="1"/>
      <c r="CBG159" s="1"/>
      <c r="CBH159" s="14"/>
      <c r="CBS159" s="1"/>
      <c r="CBT159" s="1"/>
      <c r="CBU159" s="1"/>
      <c r="CBV159" s="1"/>
      <c r="CBW159" s="1"/>
      <c r="CBX159" s="14"/>
      <c r="CCI159" s="1"/>
      <c r="CCJ159" s="1"/>
      <c r="CCK159" s="1"/>
      <c r="CCL159" s="1"/>
      <c r="CCM159" s="1"/>
      <c r="CCN159" s="14"/>
      <c r="CCY159" s="1"/>
      <c r="CCZ159" s="1"/>
      <c r="CDA159" s="1"/>
      <c r="CDB159" s="1"/>
      <c r="CDC159" s="1"/>
      <c r="CDD159" s="14"/>
      <c r="CDO159" s="1"/>
      <c r="CDP159" s="1"/>
      <c r="CDQ159" s="1"/>
      <c r="CDR159" s="1"/>
      <c r="CDS159" s="1"/>
      <c r="CDT159" s="14"/>
      <c r="CEE159" s="1"/>
      <c r="CEF159" s="1"/>
      <c r="CEG159" s="1"/>
      <c r="CEH159" s="1"/>
      <c r="CEI159" s="1"/>
      <c r="CEJ159" s="14"/>
      <c r="CEU159" s="1"/>
      <c r="CEV159" s="1"/>
      <c r="CEW159" s="1"/>
      <c r="CEX159" s="1"/>
      <c r="CEY159" s="1"/>
      <c r="CEZ159" s="14"/>
      <c r="CFK159" s="1"/>
      <c r="CFL159" s="1"/>
      <c r="CFM159" s="1"/>
      <c r="CFN159" s="1"/>
      <c r="CFO159" s="1"/>
      <c r="CFP159" s="14"/>
      <c r="CGA159" s="1"/>
      <c r="CGB159" s="1"/>
      <c r="CGC159" s="1"/>
      <c r="CGD159" s="1"/>
      <c r="CGE159" s="1"/>
      <c r="CGF159" s="14"/>
      <c r="CGQ159" s="1"/>
      <c r="CGR159" s="1"/>
      <c r="CGS159" s="1"/>
      <c r="CGT159" s="1"/>
      <c r="CGU159" s="1"/>
      <c r="CGV159" s="14"/>
      <c r="CHG159" s="1"/>
      <c r="CHH159" s="1"/>
      <c r="CHI159" s="1"/>
      <c r="CHJ159" s="1"/>
      <c r="CHK159" s="1"/>
      <c r="CHL159" s="14"/>
      <c r="CHW159" s="1"/>
      <c r="CHX159" s="1"/>
      <c r="CHY159" s="1"/>
      <c r="CHZ159" s="1"/>
      <c r="CIA159" s="1"/>
      <c r="CIB159" s="14"/>
      <c r="CIM159" s="1"/>
      <c r="CIN159" s="1"/>
      <c r="CIO159" s="1"/>
      <c r="CIP159" s="1"/>
      <c r="CIQ159" s="1"/>
      <c r="CIR159" s="14"/>
      <c r="CJC159" s="1"/>
      <c r="CJD159" s="1"/>
      <c r="CJE159" s="1"/>
      <c r="CJF159" s="1"/>
      <c r="CJG159" s="1"/>
      <c r="CJH159" s="14"/>
      <c r="CJS159" s="1"/>
      <c r="CJT159" s="1"/>
      <c r="CJU159" s="1"/>
      <c r="CJV159" s="1"/>
      <c r="CJW159" s="1"/>
      <c r="CJX159" s="14"/>
      <c r="CKI159" s="1"/>
      <c r="CKJ159" s="1"/>
      <c r="CKK159" s="1"/>
      <c r="CKL159" s="1"/>
      <c r="CKM159" s="1"/>
      <c r="CKN159" s="14"/>
      <c r="CKY159" s="1"/>
      <c r="CKZ159" s="1"/>
      <c r="CLA159" s="1"/>
      <c r="CLB159" s="1"/>
      <c r="CLC159" s="1"/>
      <c r="CLD159" s="14"/>
      <c r="CLO159" s="1"/>
      <c r="CLP159" s="1"/>
      <c r="CLQ159" s="1"/>
      <c r="CLR159" s="1"/>
      <c r="CLS159" s="1"/>
      <c r="CLT159" s="14"/>
      <c r="CME159" s="1"/>
      <c r="CMF159" s="1"/>
      <c r="CMG159" s="1"/>
      <c r="CMH159" s="1"/>
      <c r="CMI159" s="1"/>
      <c r="CMJ159" s="14"/>
      <c r="CMU159" s="1"/>
      <c r="CMV159" s="1"/>
      <c r="CMW159" s="1"/>
      <c r="CMX159" s="1"/>
      <c r="CMY159" s="1"/>
      <c r="CMZ159" s="14"/>
      <c r="CNK159" s="1"/>
      <c r="CNL159" s="1"/>
      <c r="CNM159" s="1"/>
      <c r="CNN159" s="1"/>
      <c r="CNO159" s="1"/>
      <c r="CNP159" s="14"/>
      <c r="COA159" s="1"/>
      <c r="COB159" s="1"/>
      <c r="COC159" s="1"/>
      <c r="COD159" s="1"/>
      <c r="COE159" s="1"/>
      <c r="COF159" s="14"/>
      <c r="COQ159" s="1"/>
      <c r="COR159" s="1"/>
      <c r="COS159" s="1"/>
      <c r="COT159" s="1"/>
      <c r="COU159" s="1"/>
      <c r="COV159" s="14"/>
      <c r="CPG159" s="1"/>
      <c r="CPH159" s="1"/>
      <c r="CPI159" s="1"/>
      <c r="CPJ159" s="1"/>
      <c r="CPK159" s="1"/>
      <c r="CPL159" s="14"/>
      <c r="CPW159" s="1"/>
      <c r="CPX159" s="1"/>
      <c r="CPY159" s="1"/>
      <c r="CPZ159" s="1"/>
      <c r="CQA159" s="1"/>
      <c r="CQB159" s="14"/>
      <c r="CQM159" s="1"/>
      <c r="CQN159" s="1"/>
      <c r="CQO159" s="1"/>
      <c r="CQP159" s="1"/>
      <c r="CQQ159" s="1"/>
      <c r="CQR159" s="14"/>
      <c r="CRC159" s="1"/>
      <c r="CRD159" s="1"/>
      <c r="CRE159" s="1"/>
      <c r="CRF159" s="1"/>
      <c r="CRG159" s="1"/>
      <c r="CRH159" s="14"/>
      <c r="CRS159" s="1"/>
      <c r="CRT159" s="1"/>
      <c r="CRU159" s="1"/>
      <c r="CRV159" s="1"/>
      <c r="CRW159" s="1"/>
      <c r="CRX159" s="14"/>
      <c r="CSI159" s="1"/>
      <c r="CSJ159" s="1"/>
      <c r="CSK159" s="1"/>
      <c r="CSL159" s="1"/>
      <c r="CSM159" s="1"/>
      <c r="CSN159" s="14"/>
      <c r="CSY159" s="1"/>
      <c r="CSZ159" s="1"/>
      <c r="CTA159" s="1"/>
      <c r="CTB159" s="1"/>
      <c r="CTC159" s="1"/>
      <c r="CTD159" s="14"/>
      <c r="CTO159" s="1"/>
      <c r="CTP159" s="1"/>
      <c r="CTQ159" s="1"/>
      <c r="CTR159" s="1"/>
      <c r="CTS159" s="1"/>
      <c r="CTT159" s="14"/>
      <c r="CUE159" s="1"/>
      <c r="CUF159" s="1"/>
      <c r="CUG159" s="1"/>
      <c r="CUH159" s="1"/>
      <c r="CUI159" s="1"/>
      <c r="CUJ159" s="14"/>
      <c r="CUU159" s="1"/>
      <c r="CUV159" s="1"/>
      <c r="CUW159" s="1"/>
      <c r="CUX159" s="1"/>
      <c r="CUY159" s="1"/>
      <c r="CUZ159" s="14"/>
      <c r="CVK159" s="1"/>
      <c r="CVL159" s="1"/>
      <c r="CVM159" s="1"/>
      <c r="CVN159" s="1"/>
      <c r="CVO159" s="1"/>
      <c r="CVP159" s="14"/>
      <c r="CWA159" s="1"/>
      <c r="CWB159" s="1"/>
      <c r="CWC159" s="1"/>
      <c r="CWD159" s="1"/>
      <c r="CWE159" s="1"/>
      <c r="CWF159" s="14"/>
      <c r="CWQ159" s="1"/>
      <c r="CWR159" s="1"/>
      <c r="CWS159" s="1"/>
      <c r="CWT159" s="1"/>
      <c r="CWU159" s="1"/>
      <c r="CWV159" s="14"/>
      <c r="CXG159" s="1"/>
      <c r="CXH159" s="1"/>
      <c r="CXI159" s="1"/>
      <c r="CXJ159" s="1"/>
      <c r="CXK159" s="1"/>
      <c r="CXL159" s="14"/>
      <c r="CXW159" s="1"/>
      <c r="CXX159" s="1"/>
      <c r="CXY159" s="1"/>
      <c r="CXZ159" s="1"/>
      <c r="CYA159" s="1"/>
      <c r="CYB159" s="14"/>
      <c r="CYM159" s="1"/>
      <c r="CYN159" s="1"/>
      <c r="CYO159" s="1"/>
      <c r="CYP159" s="1"/>
      <c r="CYQ159" s="1"/>
      <c r="CYR159" s="14"/>
      <c r="CZC159" s="1"/>
      <c r="CZD159" s="1"/>
      <c r="CZE159" s="1"/>
      <c r="CZF159" s="1"/>
      <c r="CZG159" s="1"/>
      <c r="CZH159" s="14"/>
      <c r="CZS159" s="1"/>
      <c r="CZT159" s="1"/>
      <c r="CZU159" s="1"/>
      <c r="CZV159" s="1"/>
      <c r="CZW159" s="1"/>
      <c r="CZX159" s="14"/>
      <c r="DAI159" s="1"/>
      <c r="DAJ159" s="1"/>
      <c r="DAK159" s="1"/>
      <c r="DAL159" s="1"/>
      <c r="DAM159" s="1"/>
      <c r="DAN159" s="14"/>
      <c r="DAY159" s="1"/>
      <c r="DAZ159" s="1"/>
      <c r="DBA159" s="1"/>
      <c r="DBB159" s="1"/>
      <c r="DBC159" s="1"/>
      <c r="DBD159" s="14"/>
      <c r="DBO159" s="1"/>
      <c r="DBP159" s="1"/>
      <c r="DBQ159" s="1"/>
      <c r="DBR159" s="1"/>
      <c r="DBS159" s="1"/>
      <c r="DBT159" s="14"/>
      <c r="DCE159" s="1"/>
      <c r="DCF159" s="1"/>
      <c r="DCG159" s="1"/>
      <c r="DCH159" s="1"/>
      <c r="DCI159" s="1"/>
      <c r="DCJ159" s="14"/>
      <c r="DCU159" s="1"/>
      <c r="DCV159" s="1"/>
      <c r="DCW159" s="1"/>
      <c r="DCX159" s="1"/>
      <c r="DCY159" s="1"/>
      <c r="DCZ159" s="14"/>
      <c r="DDK159" s="1"/>
      <c r="DDL159" s="1"/>
      <c r="DDM159" s="1"/>
      <c r="DDN159" s="1"/>
      <c r="DDO159" s="1"/>
      <c r="DDP159" s="14"/>
      <c r="DEA159" s="1"/>
      <c r="DEB159" s="1"/>
      <c r="DEC159" s="1"/>
      <c r="DED159" s="1"/>
      <c r="DEE159" s="1"/>
      <c r="DEF159" s="14"/>
      <c r="DEQ159" s="1"/>
      <c r="DER159" s="1"/>
      <c r="DES159" s="1"/>
      <c r="DET159" s="1"/>
      <c r="DEU159" s="1"/>
      <c r="DEV159" s="14"/>
      <c r="DFG159" s="1"/>
      <c r="DFH159" s="1"/>
      <c r="DFI159" s="1"/>
      <c r="DFJ159" s="1"/>
      <c r="DFK159" s="1"/>
      <c r="DFL159" s="14"/>
      <c r="DFW159" s="1"/>
      <c r="DFX159" s="1"/>
      <c r="DFY159" s="1"/>
      <c r="DFZ159" s="1"/>
      <c r="DGA159" s="1"/>
      <c r="DGB159" s="14"/>
      <c r="DGM159" s="1"/>
      <c r="DGN159" s="1"/>
      <c r="DGO159" s="1"/>
      <c r="DGP159" s="1"/>
      <c r="DGQ159" s="1"/>
      <c r="DGR159" s="14"/>
      <c r="DHC159" s="1"/>
      <c r="DHD159" s="1"/>
      <c r="DHE159" s="1"/>
      <c r="DHF159" s="1"/>
      <c r="DHG159" s="1"/>
      <c r="DHH159" s="14"/>
      <c r="DHS159" s="1"/>
      <c r="DHT159" s="1"/>
      <c r="DHU159" s="1"/>
      <c r="DHV159" s="1"/>
      <c r="DHW159" s="1"/>
      <c r="DHX159" s="14"/>
      <c r="DII159" s="1"/>
      <c r="DIJ159" s="1"/>
      <c r="DIK159" s="1"/>
      <c r="DIL159" s="1"/>
      <c r="DIM159" s="1"/>
      <c r="DIN159" s="14"/>
      <c r="DIY159" s="1"/>
      <c r="DIZ159" s="1"/>
      <c r="DJA159" s="1"/>
      <c r="DJB159" s="1"/>
      <c r="DJC159" s="1"/>
      <c r="DJD159" s="14"/>
      <c r="DJO159" s="1"/>
      <c r="DJP159" s="1"/>
      <c r="DJQ159" s="1"/>
      <c r="DJR159" s="1"/>
      <c r="DJS159" s="1"/>
      <c r="DJT159" s="14"/>
      <c r="DKE159" s="1"/>
      <c r="DKF159" s="1"/>
      <c r="DKG159" s="1"/>
      <c r="DKH159" s="1"/>
      <c r="DKI159" s="1"/>
      <c r="DKJ159" s="14"/>
      <c r="DKU159" s="1"/>
      <c r="DKV159" s="1"/>
      <c r="DKW159" s="1"/>
      <c r="DKX159" s="1"/>
      <c r="DKY159" s="1"/>
      <c r="DKZ159" s="14"/>
      <c r="DLK159" s="1"/>
      <c r="DLL159" s="1"/>
      <c r="DLM159" s="1"/>
      <c r="DLN159" s="1"/>
      <c r="DLO159" s="1"/>
      <c r="DLP159" s="14"/>
      <c r="DMA159" s="1"/>
      <c r="DMB159" s="1"/>
      <c r="DMC159" s="1"/>
      <c r="DMD159" s="1"/>
      <c r="DME159" s="1"/>
      <c r="DMF159" s="14"/>
      <c r="DMQ159" s="1"/>
      <c r="DMR159" s="1"/>
      <c r="DMS159" s="1"/>
      <c r="DMT159" s="1"/>
      <c r="DMU159" s="1"/>
      <c r="DMV159" s="14"/>
      <c r="DNG159" s="1"/>
      <c r="DNH159" s="1"/>
      <c r="DNI159" s="1"/>
      <c r="DNJ159" s="1"/>
      <c r="DNK159" s="1"/>
      <c r="DNL159" s="14"/>
      <c r="DNW159" s="1"/>
      <c r="DNX159" s="1"/>
      <c r="DNY159" s="1"/>
      <c r="DNZ159" s="1"/>
      <c r="DOA159" s="1"/>
      <c r="DOB159" s="14"/>
      <c r="DOM159" s="1"/>
      <c r="DON159" s="1"/>
      <c r="DOO159" s="1"/>
      <c r="DOP159" s="1"/>
      <c r="DOQ159" s="1"/>
      <c r="DOR159" s="14"/>
      <c r="DPC159" s="1"/>
      <c r="DPD159" s="1"/>
      <c r="DPE159" s="1"/>
      <c r="DPF159" s="1"/>
      <c r="DPG159" s="1"/>
      <c r="DPH159" s="14"/>
      <c r="DPS159" s="1"/>
      <c r="DPT159" s="1"/>
      <c r="DPU159" s="1"/>
      <c r="DPV159" s="1"/>
      <c r="DPW159" s="1"/>
      <c r="DPX159" s="14"/>
      <c r="DQI159" s="1"/>
      <c r="DQJ159" s="1"/>
      <c r="DQK159" s="1"/>
      <c r="DQL159" s="1"/>
      <c r="DQM159" s="1"/>
      <c r="DQN159" s="14"/>
      <c r="DQY159" s="1"/>
      <c r="DQZ159" s="1"/>
      <c r="DRA159" s="1"/>
      <c r="DRB159" s="1"/>
      <c r="DRC159" s="1"/>
      <c r="DRD159" s="14"/>
      <c r="DRO159" s="1"/>
      <c r="DRP159" s="1"/>
      <c r="DRQ159" s="1"/>
      <c r="DRR159" s="1"/>
      <c r="DRS159" s="1"/>
      <c r="DRT159" s="14"/>
      <c r="DSE159" s="1"/>
      <c r="DSF159" s="1"/>
      <c r="DSG159" s="1"/>
      <c r="DSH159" s="1"/>
      <c r="DSI159" s="1"/>
      <c r="DSJ159" s="14"/>
      <c r="DSU159" s="1"/>
      <c r="DSV159" s="1"/>
      <c r="DSW159" s="1"/>
      <c r="DSX159" s="1"/>
      <c r="DSY159" s="1"/>
      <c r="DSZ159" s="14"/>
      <c r="DTK159" s="1"/>
      <c r="DTL159" s="1"/>
      <c r="DTM159" s="1"/>
      <c r="DTN159" s="1"/>
      <c r="DTO159" s="1"/>
      <c r="DTP159" s="14"/>
      <c r="DUA159" s="1"/>
      <c r="DUB159" s="1"/>
      <c r="DUC159" s="1"/>
      <c r="DUD159" s="1"/>
      <c r="DUE159" s="1"/>
      <c r="DUF159" s="14"/>
      <c r="DUQ159" s="1"/>
      <c r="DUR159" s="1"/>
      <c r="DUS159" s="1"/>
      <c r="DUT159" s="1"/>
      <c r="DUU159" s="1"/>
      <c r="DUV159" s="14"/>
      <c r="DVG159" s="1"/>
      <c r="DVH159" s="1"/>
      <c r="DVI159" s="1"/>
      <c r="DVJ159" s="1"/>
      <c r="DVK159" s="1"/>
      <c r="DVL159" s="14"/>
      <c r="DVW159" s="1"/>
      <c r="DVX159" s="1"/>
      <c r="DVY159" s="1"/>
      <c r="DVZ159" s="1"/>
      <c r="DWA159" s="1"/>
      <c r="DWB159" s="14"/>
      <c r="DWM159" s="1"/>
      <c r="DWN159" s="1"/>
      <c r="DWO159" s="1"/>
      <c r="DWP159" s="1"/>
      <c r="DWQ159" s="1"/>
      <c r="DWR159" s="14"/>
      <c r="DXC159" s="1"/>
      <c r="DXD159" s="1"/>
      <c r="DXE159" s="1"/>
      <c r="DXF159" s="1"/>
      <c r="DXG159" s="1"/>
      <c r="DXH159" s="14"/>
      <c r="DXS159" s="1"/>
      <c r="DXT159" s="1"/>
      <c r="DXU159" s="1"/>
      <c r="DXV159" s="1"/>
      <c r="DXW159" s="1"/>
      <c r="DXX159" s="14"/>
      <c r="DYI159" s="1"/>
      <c r="DYJ159" s="1"/>
      <c r="DYK159" s="1"/>
      <c r="DYL159" s="1"/>
      <c r="DYM159" s="1"/>
      <c r="DYN159" s="14"/>
      <c r="DYY159" s="1"/>
      <c r="DYZ159" s="1"/>
      <c r="DZA159" s="1"/>
      <c r="DZB159" s="1"/>
      <c r="DZC159" s="1"/>
      <c r="DZD159" s="14"/>
      <c r="DZO159" s="1"/>
      <c r="DZP159" s="1"/>
      <c r="DZQ159" s="1"/>
      <c r="DZR159" s="1"/>
      <c r="DZS159" s="1"/>
      <c r="DZT159" s="14"/>
      <c r="EAE159" s="1"/>
      <c r="EAF159" s="1"/>
      <c r="EAG159" s="1"/>
      <c r="EAH159" s="1"/>
      <c r="EAI159" s="1"/>
      <c r="EAJ159" s="14"/>
      <c r="EAU159" s="1"/>
      <c r="EAV159" s="1"/>
      <c r="EAW159" s="1"/>
      <c r="EAX159" s="1"/>
      <c r="EAY159" s="1"/>
      <c r="EAZ159" s="14"/>
      <c r="EBK159" s="1"/>
      <c r="EBL159" s="1"/>
      <c r="EBM159" s="1"/>
      <c r="EBN159" s="1"/>
      <c r="EBO159" s="1"/>
      <c r="EBP159" s="14"/>
      <c r="ECA159" s="1"/>
      <c r="ECB159" s="1"/>
      <c r="ECC159" s="1"/>
      <c r="ECD159" s="1"/>
      <c r="ECE159" s="1"/>
      <c r="ECF159" s="14"/>
      <c r="ECQ159" s="1"/>
      <c r="ECR159" s="1"/>
      <c r="ECS159" s="1"/>
      <c r="ECT159" s="1"/>
      <c r="ECU159" s="1"/>
      <c r="ECV159" s="14"/>
      <c r="EDG159" s="1"/>
      <c r="EDH159" s="1"/>
      <c r="EDI159" s="1"/>
      <c r="EDJ159" s="1"/>
      <c r="EDK159" s="1"/>
      <c r="EDL159" s="14"/>
      <c r="EDW159" s="1"/>
      <c r="EDX159" s="1"/>
      <c r="EDY159" s="1"/>
      <c r="EDZ159" s="1"/>
      <c r="EEA159" s="1"/>
      <c r="EEB159" s="14"/>
      <c r="EEM159" s="1"/>
      <c r="EEN159" s="1"/>
      <c r="EEO159" s="1"/>
      <c r="EEP159" s="1"/>
      <c r="EEQ159" s="1"/>
      <c r="EER159" s="14"/>
      <c r="EFC159" s="1"/>
      <c r="EFD159" s="1"/>
      <c r="EFE159" s="1"/>
      <c r="EFF159" s="1"/>
      <c r="EFG159" s="1"/>
      <c r="EFH159" s="14"/>
      <c r="EFS159" s="1"/>
      <c r="EFT159" s="1"/>
      <c r="EFU159" s="1"/>
      <c r="EFV159" s="1"/>
      <c r="EFW159" s="1"/>
      <c r="EFX159" s="14"/>
      <c r="EGI159" s="1"/>
      <c r="EGJ159" s="1"/>
      <c r="EGK159" s="1"/>
      <c r="EGL159" s="1"/>
      <c r="EGM159" s="1"/>
      <c r="EGN159" s="14"/>
      <c r="EGY159" s="1"/>
      <c r="EGZ159" s="1"/>
      <c r="EHA159" s="1"/>
      <c r="EHB159" s="1"/>
      <c r="EHC159" s="1"/>
      <c r="EHD159" s="14"/>
      <c r="EHO159" s="1"/>
      <c r="EHP159" s="1"/>
      <c r="EHQ159" s="1"/>
      <c r="EHR159" s="1"/>
      <c r="EHS159" s="1"/>
      <c r="EHT159" s="14"/>
      <c r="EIE159" s="1"/>
      <c r="EIF159" s="1"/>
      <c r="EIG159" s="1"/>
      <c r="EIH159" s="1"/>
      <c r="EII159" s="1"/>
      <c r="EIJ159" s="14"/>
      <c r="EIU159" s="1"/>
      <c r="EIV159" s="1"/>
      <c r="EIW159" s="1"/>
      <c r="EIX159" s="1"/>
      <c r="EIY159" s="1"/>
      <c r="EIZ159" s="14"/>
      <c r="EJK159" s="1"/>
      <c r="EJL159" s="1"/>
      <c r="EJM159" s="1"/>
      <c r="EJN159" s="1"/>
      <c r="EJO159" s="1"/>
      <c r="EJP159" s="14"/>
      <c r="EKA159" s="1"/>
      <c r="EKB159" s="1"/>
      <c r="EKC159" s="1"/>
      <c r="EKD159" s="1"/>
      <c r="EKE159" s="1"/>
      <c r="EKF159" s="14"/>
      <c r="EKQ159" s="1"/>
      <c r="EKR159" s="1"/>
      <c r="EKS159" s="1"/>
      <c r="EKT159" s="1"/>
      <c r="EKU159" s="1"/>
      <c r="EKV159" s="14"/>
      <c r="ELG159" s="1"/>
      <c r="ELH159" s="1"/>
      <c r="ELI159" s="1"/>
      <c r="ELJ159" s="1"/>
      <c r="ELK159" s="1"/>
      <c r="ELL159" s="14"/>
      <c r="ELW159" s="1"/>
      <c r="ELX159" s="1"/>
      <c r="ELY159" s="1"/>
      <c r="ELZ159" s="1"/>
      <c r="EMA159" s="1"/>
      <c r="EMB159" s="14"/>
      <c r="EMM159" s="1"/>
      <c r="EMN159" s="1"/>
      <c r="EMO159" s="1"/>
      <c r="EMP159" s="1"/>
      <c r="EMQ159" s="1"/>
      <c r="EMR159" s="14"/>
      <c r="ENC159" s="1"/>
      <c r="END159" s="1"/>
      <c r="ENE159" s="1"/>
      <c r="ENF159" s="1"/>
      <c r="ENG159" s="1"/>
      <c r="ENH159" s="14"/>
      <c r="ENS159" s="1"/>
      <c r="ENT159" s="1"/>
      <c r="ENU159" s="1"/>
      <c r="ENV159" s="1"/>
      <c r="ENW159" s="1"/>
      <c r="ENX159" s="14"/>
      <c r="EOI159" s="1"/>
      <c r="EOJ159" s="1"/>
      <c r="EOK159" s="1"/>
      <c r="EOL159" s="1"/>
      <c r="EOM159" s="1"/>
      <c r="EON159" s="14"/>
      <c r="EOY159" s="1"/>
      <c r="EOZ159" s="1"/>
      <c r="EPA159" s="1"/>
      <c r="EPB159" s="1"/>
      <c r="EPC159" s="1"/>
      <c r="EPD159" s="14"/>
      <c r="EPO159" s="1"/>
      <c r="EPP159" s="1"/>
      <c r="EPQ159" s="1"/>
      <c r="EPR159" s="1"/>
      <c r="EPS159" s="1"/>
      <c r="EPT159" s="14"/>
      <c r="EQE159" s="1"/>
      <c r="EQF159" s="1"/>
      <c r="EQG159" s="1"/>
      <c r="EQH159" s="1"/>
      <c r="EQI159" s="1"/>
      <c r="EQJ159" s="14"/>
      <c r="EQU159" s="1"/>
      <c r="EQV159" s="1"/>
      <c r="EQW159" s="1"/>
      <c r="EQX159" s="1"/>
      <c r="EQY159" s="1"/>
      <c r="EQZ159" s="14"/>
      <c r="ERK159" s="1"/>
      <c r="ERL159" s="1"/>
      <c r="ERM159" s="1"/>
      <c r="ERN159" s="1"/>
      <c r="ERO159" s="1"/>
      <c r="ERP159" s="14"/>
      <c r="ESA159" s="1"/>
      <c r="ESB159" s="1"/>
      <c r="ESC159" s="1"/>
      <c r="ESD159" s="1"/>
      <c r="ESE159" s="1"/>
      <c r="ESF159" s="14"/>
      <c r="ESQ159" s="1"/>
      <c r="ESR159" s="1"/>
      <c r="ESS159" s="1"/>
      <c r="EST159" s="1"/>
      <c r="ESU159" s="1"/>
      <c r="ESV159" s="14"/>
      <c r="ETG159" s="1"/>
      <c r="ETH159" s="1"/>
      <c r="ETI159" s="1"/>
      <c r="ETJ159" s="1"/>
      <c r="ETK159" s="1"/>
      <c r="ETL159" s="14"/>
      <c r="ETW159" s="1"/>
      <c r="ETX159" s="1"/>
      <c r="ETY159" s="1"/>
      <c r="ETZ159" s="1"/>
      <c r="EUA159" s="1"/>
      <c r="EUB159" s="14"/>
      <c r="EUM159" s="1"/>
      <c r="EUN159" s="1"/>
      <c r="EUO159" s="1"/>
      <c r="EUP159" s="1"/>
      <c r="EUQ159" s="1"/>
      <c r="EUR159" s="14"/>
      <c r="EVC159" s="1"/>
      <c r="EVD159" s="1"/>
      <c r="EVE159" s="1"/>
      <c r="EVF159" s="1"/>
      <c r="EVG159" s="1"/>
      <c r="EVH159" s="14"/>
      <c r="EVS159" s="1"/>
      <c r="EVT159" s="1"/>
      <c r="EVU159" s="1"/>
      <c r="EVV159" s="1"/>
      <c r="EVW159" s="1"/>
      <c r="EVX159" s="14"/>
      <c r="EWI159" s="1"/>
      <c r="EWJ159" s="1"/>
      <c r="EWK159" s="1"/>
      <c r="EWL159" s="1"/>
      <c r="EWM159" s="1"/>
      <c r="EWN159" s="14"/>
      <c r="EWY159" s="1"/>
      <c r="EWZ159" s="1"/>
      <c r="EXA159" s="1"/>
      <c r="EXB159" s="1"/>
      <c r="EXC159" s="1"/>
      <c r="EXD159" s="14"/>
      <c r="EXO159" s="1"/>
      <c r="EXP159" s="1"/>
      <c r="EXQ159" s="1"/>
      <c r="EXR159" s="1"/>
      <c r="EXS159" s="1"/>
      <c r="EXT159" s="14"/>
      <c r="EYE159" s="1"/>
      <c r="EYF159" s="1"/>
      <c r="EYG159" s="1"/>
      <c r="EYH159" s="1"/>
      <c r="EYI159" s="1"/>
      <c r="EYJ159" s="14"/>
      <c r="EYU159" s="1"/>
      <c r="EYV159" s="1"/>
      <c r="EYW159" s="1"/>
      <c r="EYX159" s="1"/>
      <c r="EYY159" s="1"/>
      <c r="EYZ159" s="14"/>
      <c r="EZK159" s="1"/>
      <c r="EZL159" s="1"/>
      <c r="EZM159" s="1"/>
      <c r="EZN159" s="1"/>
      <c r="EZO159" s="1"/>
      <c r="EZP159" s="14"/>
      <c r="FAA159" s="1"/>
      <c r="FAB159" s="1"/>
      <c r="FAC159" s="1"/>
      <c r="FAD159" s="1"/>
      <c r="FAE159" s="1"/>
      <c r="FAF159" s="14"/>
      <c r="FAQ159" s="1"/>
      <c r="FAR159" s="1"/>
      <c r="FAS159" s="1"/>
      <c r="FAT159" s="1"/>
      <c r="FAU159" s="1"/>
      <c r="FAV159" s="14"/>
      <c r="FBG159" s="1"/>
      <c r="FBH159" s="1"/>
      <c r="FBI159" s="1"/>
      <c r="FBJ159" s="1"/>
      <c r="FBK159" s="1"/>
      <c r="FBL159" s="14"/>
      <c r="FBW159" s="1"/>
      <c r="FBX159" s="1"/>
      <c r="FBY159" s="1"/>
      <c r="FBZ159" s="1"/>
      <c r="FCA159" s="1"/>
      <c r="FCB159" s="14"/>
      <c r="FCM159" s="1"/>
      <c r="FCN159" s="1"/>
      <c r="FCO159" s="1"/>
      <c r="FCP159" s="1"/>
      <c r="FCQ159" s="1"/>
      <c r="FCR159" s="14"/>
      <c r="FDC159" s="1"/>
      <c r="FDD159" s="1"/>
      <c r="FDE159" s="1"/>
      <c r="FDF159" s="1"/>
      <c r="FDG159" s="1"/>
      <c r="FDH159" s="14"/>
      <c r="FDS159" s="1"/>
      <c r="FDT159" s="1"/>
      <c r="FDU159" s="1"/>
      <c r="FDV159" s="1"/>
      <c r="FDW159" s="1"/>
      <c r="FDX159" s="14"/>
      <c r="FEI159" s="1"/>
      <c r="FEJ159" s="1"/>
      <c r="FEK159" s="1"/>
      <c r="FEL159" s="1"/>
      <c r="FEM159" s="1"/>
      <c r="FEN159" s="14"/>
      <c r="FEY159" s="1"/>
      <c r="FEZ159" s="1"/>
      <c r="FFA159" s="1"/>
      <c r="FFB159" s="1"/>
      <c r="FFC159" s="1"/>
      <c r="FFD159" s="14"/>
      <c r="FFO159" s="1"/>
      <c r="FFP159" s="1"/>
      <c r="FFQ159" s="1"/>
      <c r="FFR159" s="1"/>
      <c r="FFS159" s="1"/>
      <c r="FFT159" s="14"/>
      <c r="FGE159" s="1"/>
      <c r="FGF159" s="1"/>
      <c r="FGG159" s="1"/>
      <c r="FGH159" s="1"/>
      <c r="FGI159" s="1"/>
      <c r="FGJ159" s="14"/>
      <c r="FGU159" s="1"/>
      <c r="FGV159" s="1"/>
      <c r="FGW159" s="1"/>
      <c r="FGX159" s="1"/>
      <c r="FGY159" s="1"/>
      <c r="FGZ159" s="14"/>
      <c r="FHK159" s="1"/>
      <c r="FHL159" s="1"/>
      <c r="FHM159" s="1"/>
      <c r="FHN159" s="1"/>
      <c r="FHO159" s="1"/>
      <c r="FHP159" s="14"/>
      <c r="FIA159" s="1"/>
      <c r="FIB159" s="1"/>
      <c r="FIC159" s="1"/>
      <c r="FID159" s="1"/>
      <c r="FIE159" s="1"/>
      <c r="FIF159" s="14"/>
      <c r="FIQ159" s="1"/>
      <c r="FIR159" s="1"/>
      <c r="FIS159" s="1"/>
      <c r="FIT159" s="1"/>
      <c r="FIU159" s="1"/>
      <c r="FIV159" s="14"/>
      <c r="FJG159" s="1"/>
      <c r="FJH159" s="1"/>
      <c r="FJI159" s="1"/>
      <c r="FJJ159" s="1"/>
      <c r="FJK159" s="1"/>
      <c r="FJL159" s="14"/>
      <c r="FJW159" s="1"/>
      <c r="FJX159" s="1"/>
      <c r="FJY159" s="1"/>
      <c r="FJZ159" s="1"/>
      <c r="FKA159" s="1"/>
      <c r="FKB159" s="14"/>
      <c r="FKM159" s="1"/>
      <c r="FKN159" s="1"/>
      <c r="FKO159" s="1"/>
      <c r="FKP159" s="1"/>
      <c r="FKQ159" s="1"/>
      <c r="FKR159" s="14"/>
      <c r="FLC159" s="1"/>
      <c r="FLD159" s="1"/>
      <c r="FLE159" s="1"/>
      <c r="FLF159" s="1"/>
      <c r="FLG159" s="1"/>
      <c r="FLH159" s="14"/>
      <c r="FLS159" s="1"/>
      <c r="FLT159" s="1"/>
      <c r="FLU159" s="1"/>
      <c r="FLV159" s="1"/>
      <c r="FLW159" s="1"/>
      <c r="FLX159" s="14"/>
      <c r="FMI159" s="1"/>
      <c r="FMJ159" s="1"/>
      <c r="FMK159" s="1"/>
      <c r="FML159" s="1"/>
      <c r="FMM159" s="1"/>
      <c r="FMN159" s="14"/>
      <c r="FMY159" s="1"/>
      <c r="FMZ159" s="1"/>
      <c r="FNA159" s="1"/>
      <c r="FNB159" s="1"/>
      <c r="FNC159" s="1"/>
      <c r="FND159" s="14"/>
      <c r="FNO159" s="1"/>
      <c r="FNP159" s="1"/>
      <c r="FNQ159" s="1"/>
      <c r="FNR159" s="1"/>
      <c r="FNS159" s="1"/>
      <c r="FNT159" s="14"/>
      <c r="FOE159" s="1"/>
      <c r="FOF159" s="1"/>
      <c r="FOG159" s="1"/>
      <c r="FOH159" s="1"/>
      <c r="FOI159" s="1"/>
      <c r="FOJ159" s="14"/>
      <c r="FOU159" s="1"/>
      <c r="FOV159" s="1"/>
      <c r="FOW159" s="1"/>
      <c r="FOX159" s="1"/>
      <c r="FOY159" s="1"/>
      <c r="FOZ159" s="14"/>
      <c r="FPK159" s="1"/>
      <c r="FPL159" s="1"/>
      <c r="FPM159" s="1"/>
      <c r="FPN159" s="1"/>
      <c r="FPO159" s="1"/>
      <c r="FPP159" s="14"/>
      <c r="FQA159" s="1"/>
      <c r="FQB159" s="1"/>
      <c r="FQC159" s="1"/>
      <c r="FQD159" s="1"/>
      <c r="FQE159" s="1"/>
      <c r="FQF159" s="14"/>
      <c r="FQQ159" s="1"/>
      <c r="FQR159" s="1"/>
      <c r="FQS159" s="1"/>
      <c r="FQT159" s="1"/>
      <c r="FQU159" s="1"/>
      <c r="FQV159" s="14"/>
      <c r="FRG159" s="1"/>
      <c r="FRH159" s="1"/>
      <c r="FRI159" s="1"/>
      <c r="FRJ159" s="1"/>
      <c r="FRK159" s="1"/>
      <c r="FRL159" s="14"/>
      <c r="FRW159" s="1"/>
      <c r="FRX159" s="1"/>
      <c r="FRY159" s="1"/>
      <c r="FRZ159" s="1"/>
      <c r="FSA159" s="1"/>
      <c r="FSB159" s="14"/>
      <c r="FSM159" s="1"/>
      <c r="FSN159" s="1"/>
      <c r="FSO159" s="1"/>
      <c r="FSP159" s="1"/>
      <c r="FSQ159" s="1"/>
      <c r="FSR159" s="14"/>
      <c r="FTC159" s="1"/>
      <c r="FTD159" s="1"/>
      <c r="FTE159" s="1"/>
      <c r="FTF159" s="1"/>
      <c r="FTG159" s="1"/>
      <c r="FTH159" s="14"/>
      <c r="FTS159" s="1"/>
      <c r="FTT159" s="1"/>
      <c r="FTU159" s="1"/>
      <c r="FTV159" s="1"/>
      <c r="FTW159" s="1"/>
      <c r="FTX159" s="14"/>
      <c r="FUI159" s="1"/>
      <c r="FUJ159" s="1"/>
      <c r="FUK159" s="1"/>
      <c r="FUL159" s="1"/>
      <c r="FUM159" s="1"/>
      <c r="FUN159" s="14"/>
      <c r="FUY159" s="1"/>
      <c r="FUZ159" s="1"/>
      <c r="FVA159" s="1"/>
      <c r="FVB159" s="1"/>
      <c r="FVC159" s="1"/>
      <c r="FVD159" s="14"/>
      <c r="FVO159" s="1"/>
      <c r="FVP159" s="1"/>
      <c r="FVQ159" s="1"/>
      <c r="FVR159" s="1"/>
      <c r="FVS159" s="1"/>
      <c r="FVT159" s="14"/>
      <c r="FWE159" s="1"/>
      <c r="FWF159" s="1"/>
      <c r="FWG159" s="1"/>
      <c r="FWH159" s="1"/>
      <c r="FWI159" s="1"/>
      <c r="FWJ159" s="14"/>
      <c r="FWU159" s="1"/>
      <c r="FWV159" s="1"/>
      <c r="FWW159" s="1"/>
      <c r="FWX159" s="1"/>
      <c r="FWY159" s="1"/>
      <c r="FWZ159" s="14"/>
      <c r="FXK159" s="1"/>
      <c r="FXL159" s="1"/>
      <c r="FXM159" s="1"/>
      <c r="FXN159" s="1"/>
      <c r="FXO159" s="1"/>
      <c r="FXP159" s="14"/>
      <c r="FYA159" s="1"/>
      <c r="FYB159" s="1"/>
      <c r="FYC159" s="1"/>
      <c r="FYD159" s="1"/>
      <c r="FYE159" s="1"/>
      <c r="FYF159" s="14"/>
      <c r="FYQ159" s="1"/>
      <c r="FYR159" s="1"/>
      <c r="FYS159" s="1"/>
      <c r="FYT159" s="1"/>
      <c r="FYU159" s="1"/>
      <c r="FYV159" s="14"/>
      <c r="FZG159" s="1"/>
      <c r="FZH159" s="1"/>
      <c r="FZI159" s="1"/>
      <c r="FZJ159" s="1"/>
      <c r="FZK159" s="1"/>
      <c r="FZL159" s="14"/>
      <c r="FZW159" s="1"/>
      <c r="FZX159" s="1"/>
      <c r="FZY159" s="1"/>
      <c r="FZZ159" s="1"/>
      <c r="GAA159" s="1"/>
      <c r="GAB159" s="14"/>
      <c r="GAM159" s="1"/>
      <c r="GAN159" s="1"/>
      <c r="GAO159" s="1"/>
      <c r="GAP159" s="1"/>
      <c r="GAQ159" s="1"/>
      <c r="GAR159" s="14"/>
      <c r="GBC159" s="1"/>
      <c r="GBD159" s="1"/>
      <c r="GBE159" s="1"/>
      <c r="GBF159" s="1"/>
      <c r="GBG159" s="1"/>
      <c r="GBH159" s="14"/>
      <c r="GBS159" s="1"/>
      <c r="GBT159" s="1"/>
      <c r="GBU159" s="1"/>
      <c r="GBV159" s="1"/>
      <c r="GBW159" s="1"/>
      <c r="GBX159" s="14"/>
      <c r="GCI159" s="1"/>
      <c r="GCJ159" s="1"/>
      <c r="GCK159" s="1"/>
      <c r="GCL159" s="1"/>
      <c r="GCM159" s="1"/>
      <c r="GCN159" s="14"/>
      <c r="GCY159" s="1"/>
      <c r="GCZ159" s="1"/>
      <c r="GDA159" s="1"/>
      <c r="GDB159" s="1"/>
      <c r="GDC159" s="1"/>
      <c r="GDD159" s="14"/>
      <c r="GDO159" s="1"/>
      <c r="GDP159" s="1"/>
      <c r="GDQ159" s="1"/>
      <c r="GDR159" s="1"/>
      <c r="GDS159" s="1"/>
      <c r="GDT159" s="14"/>
      <c r="GEE159" s="1"/>
      <c r="GEF159" s="1"/>
      <c r="GEG159" s="1"/>
      <c r="GEH159" s="1"/>
      <c r="GEI159" s="1"/>
      <c r="GEJ159" s="14"/>
      <c r="GEU159" s="1"/>
      <c r="GEV159" s="1"/>
      <c r="GEW159" s="1"/>
      <c r="GEX159" s="1"/>
      <c r="GEY159" s="1"/>
      <c r="GEZ159" s="14"/>
      <c r="GFK159" s="1"/>
      <c r="GFL159" s="1"/>
      <c r="GFM159" s="1"/>
      <c r="GFN159" s="1"/>
      <c r="GFO159" s="1"/>
      <c r="GFP159" s="14"/>
      <c r="GGA159" s="1"/>
      <c r="GGB159" s="1"/>
      <c r="GGC159" s="1"/>
      <c r="GGD159" s="1"/>
      <c r="GGE159" s="1"/>
      <c r="GGF159" s="14"/>
      <c r="GGQ159" s="1"/>
      <c r="GGR159" s="1"/>
      <c r="GGS159" s="1"/>
      <c r="GGT159" s="1"/>
      <c r="GGU159" s="1"/>
      <c r="GGV159" s="14"/>
      <c r="GHG159" s="1"/>
      <c r="GHH159" s="1"/>
      <c r="GHI159" s="1"/>
      <c r="GHJ159" s="1"/>
      <c r="GHK159" s="1"/>
      <c r="GHL159" s="14"/>
      <c r="GHW159" s="1"/>
      <c r="GHX159" s="1"/>
      <c r="GHY159" s="1"/>
      <c r="GHZ159" s="1"/>
      <c r="GIA159" s="1"/>
      <c r="GIB159" s="14"/>
      <c r="GIM159" s="1"/>
      <c r="GIN159" s="1"/>
      <c r="GIO159" s="1"/>
      <c r="GIP159" s="1"/>
      <c r="GIQ159" s="1"/>
      <c r="GIR159" s="14"/>
      <c r="GJC159" s="1"/>
      <c r="GJD159" s="1"/>
      <c r="GJE159" s="1"/>
      <c r="GJF159" s="1"/>
      <c r="GJG159" s="1"/>
      <c r="GJH159" s="14"/>
      <c r="GJS159" s="1"/>
      <c r="GJT159" s="1"/>
      <c r="GJU159" s="1"/>
      <c r="GJV159" s="1"/>
      <c r="GJW159" s="1"/>
      <c r="GJX159" s="14"/>
      <c r="GKI159" s="1"/>
      <c r="GKJ159" s="1"/>
      <c r="GKK159" s="1"/>
      <c r="GKL159" s="1"/>
      <c r="GKM159" s="1"/>
      <c r="GKN159" s="14"/>
      <c r="GKY159" s="1"/>
      <c r="GKZ159" s="1"/>
      <c r="GLA159" s="1"/>
      <c r="GLB159" s="1"/>
      <c r="GLC159" s="1"/>
      <c r="GLD159" s="14"/>
      <c r="GLO159" s="1"/>
      <c r="GLP159" s="1"/>
      <c r="GLQ159" s="1"/>
      <c r="GLR159" s="1"/>
      <c r="GLS159" s="1"/>
      <c r="GLT159" s="14"/>
      <c r="GME159" s="1"/>
      <c r="GMF159" s="1"/>
      <c r="GMG159" s="1"/>
      <c r="GMH159" s="1"/>
      <c r="GMI159" s="1"/>
      <c r="GMJ159" s="14"/>
      <c r="GMU159" s="1"/>
      <c r="GMV159" s="1"/>
      <c r="GMW159" s="1"/>
      <c r="GMX159" s="1"/>
      <c r="GMY159" s="1"/>
      <c r="GMZ159" s="14"/>
      <c r="GNK159" s="1"/>
      <c r="GNL159" s="1"/>
      <c r="GNM159" s="1"/>
      <c r="GNN159" s="1"/>
      <c r="GNO159" s="1"/>
      <c r="GNP159" s="14"/>
      <c r="GOA159" s="1"/>
      <c r="GOB159" s="1"/>
      <c r="GOC159" s="1"/>
      <c r="GOD159" s="1"/>
      <c r="GOE159" s="1"/>
      <c r="GOF159" s="14"/>
      <c r="GOQ159" s="1"/>
      <c r="GOR159" s="1"/>
      <c r="GOS159" s="1"/>
      <c r="GOT159" s="1"/>
      <c r="GOU159" s="1"/>
      <c r="GOV159" s="14"/>
      <c r="GPG159" s="1"/>
      <c r="GPH159" s="1"/>
      <c r="GPI159" s="1"/>
      <c r="GPJ159" s="1"/>
      <c r="GPK159" s="1"/>
      <c r="GPL159" s="14"/>
      <c r="GPW159" s="1"/>
      <c r="GPX159" s="1"/>
      <c r="GPY159" s="1"/>
      <c r="GPZ159" s="1"/>
      <c r="GQA159" s="1"/>
      <c r="GQB159" s="14"/>
      <c r="GQM159" s="1"/>
      <c r="GQN159" s="1"/>
      <c r="GQO159" s="1"/>
      <c r="GQP159" s="1"/>
      <c r="GQQ159" s="1"/>
      <c r="GQR159" s="14"/>
      <c r="GRC159" s="1"/>
      <c r="GRD159" s="1"/>
      <c r="GRE159" s="1"/>
      <c r="GRF159" s="1"/>
      <c r="GRG159" s="1"/>
      <c r="GRH159" s="14"/>
      <c r="GRS159" s="1"/>
      <c r="GRT159" s="1"/>
      <c r="GRU159" s="1"/>
      <c r="GRV159" s="1"/>
      <c r="GRW159" s="1"/>
      <c r="GRX159" s="14"/>
      <c r="GSI159" s="1"/>
      <c r="GSJ159" s="1"/>
      <c r="GSK159" s="1"/>
      <c r="GSL159" s="1"/>
      <c r="GSM159" s="1"/>
      <c r="GSN159" s="14"/>
      <c r="GSY159" s="1"/>
      <c r="GSZ159" s="1"/>
      <c r="GTA159" s="1"/>
      <c r="GTB159" s="1"/>
      <c r="GTC159" s="1"/>
      <c r="GTD159" s="14"/>
      <c r="GTO159" s="1"/>
      <c r="GTP159" s="1"/>
      <c r="GTQ159" s="1"/>
      <c r="GTR159" s="1"/>
      <c r="GTS159" s="1"/>
      <c r="GTT159" s="14"/>
      <c r="GUE159" s="1"/>
      <c r="GUF159" s="1"/>
      <c r="GUG159" s="1"/>
      <c r="GUH159" s="1"/>
      <c r="GUI159" s="1"/>
      <c r="GUJ159" s="14"/>
      <c r="GUU159" s="1"/>
      <c r="GUV159" s="1"/>
      <c r="GUW159" s="1"/>
      <c r="GUX159" s="1"/>
      <c r="GUY159" s="1"/>
      <c r="GUZ159" s="14"/>
      <c r="GVK159" s="1"/>
      <c r="GVL159" s="1"/>
      <c r="GVM159" s="1"/>
      <c r="GVN159" s="1"/>
      <c r="GVO159" s="1"/>
      <c r="GVP159" s="14"/>
      <c r="GWA159" s="1"/>
      <c r="GWB159" s="1"/>
      <c r="GWC159" s="1"/>
      <c r="GWD159" s="1"/>
      <c r="GWE159" s="1"/>
      <c r="GWF159" s="14"/>
      <c r="GWQ159" s="1"/>
      <c r="GWR159" s="1"/>
      <c r="GWS159" s="1"/>
      <c r="GWT159" s="1"/>
      <c r="GWU159" s="1"/>
      <c r="GWV159" s="14"/>
      <c r="GXG159" s="1"/>
      <c r="GXH159" s="1"/>
      <c r="GXI159" s="1"/>
      <c r="GXJ159" s="1"/>
      <c r="GXK159" s="1"/>
      <c r="GXL159" s="14"/>
      <c r="GXW159" s="1"/>
      <c r="GXX159" s="1"/>
      <c r="GXY159" s="1"/>
      <c r="GXZ159" s="1"/>
      <c r="GYA159" s="1"/>
      <c r="GYB159" s="14"/>
      <c r="GYM159" s="1"/>
      <c r="GYN159" s="1"/>
      <c r="GYO159" s="1"/>
      <c r="GYP159" s="1"/>
      <c r="GYQ159" s="1"/>
      <c r="GYR159" s="14"/>
      <c r="GZC159" s="1"/>
      <c r="GZD159" s="1"/>
      <c r="GZE159" s="1"/>
      <c r="GZF159" s="1"/>
      <c r="GZG159" s="1"/>
      <c r="GZH159" s="14"/>
      <c r="GZS159" s="1"/>
      <c r="GZT159" s="1"/>
      <c r="GZU159" s="1"/>
      <c r="GZV159" s="1"/>
      <c r="GZW159" s="1"/>
      <c r="GZX159" s="14"/>
      <c r="HAI159" s="1"/>
      <c r="HAJ159" s="1"/>
      <c r="HAK159" s="1"/>
      <c r="HAL159" s="1"/>
      <c r="HAM159" s="1"/>
      <c r="HAN159" s="14"/>
      <c r="HAY159" s="1"/>
      <c r="HAZ159" s="1"/>
      <c r="HBA159" s="1"/>
      <c r="HBB159" s="1"/>
      <c r="HBC159" s="1"/>
      <c r="HBD159" s="14"/>
      <c r="HBO159" s="1"/>
      <c r="HBP159" s="1"/>
      <c r="HBQ159" s="1"/>
      <c r="HBR159" s="1"/>
      <c r="HBS159" s="1"/>
      <c r="HBT159" s="14"/>
      <c r="HCE159" s="1"/>
      <c r="HCF159" s="1"/>
      <c r="HCG159" s="1"/>
      <c r="HCH159" s="1"/>
      <c r="HCI159" s="1"/>
      <c r="HCJ159" s="14"/>
      <c r="HCU159" s="1"/>
      <c r="HCV159" s="1"/>
      <c r="HCW159" s="1"/>
      <c r="HCX159" s="1"/>
      <c r="HCY159" s="1"/>
      <c r="HCZ159" s="14"/>
      <c r="HDK159" s="1"/>
      <c r="HDL159" s="1"/>
      <c r="HDM159" s="1"/>
      <c r="HDN159" s="1"/>
      <c r="HDO159" s="1"/>
      <c r="HDP159" s="14"/>
      <c r="HEA159" s="1"/>
      <c r="HEB159" s="1"/>
      <c r="HEC159" s="1"/>
      <c r="HED159" s="1"/>
      <c r="HEE159" s="1"/>
      <c r="HEF159" s="14"/>
      <c r="HEQ159" s="1"/>
      <c r="HER159" s="1"/>
      <c r="HES159" s="1"/>
      <c r="HET159" s="1"/>
      <c r="HEU159" s="1"/>
      <c r="HEV159" s="14"/>
      <c r="HFG159" s="1"/>
      <c r="HFH159" s="1"/>
      <c r="HFI159" s="1"/>
      <c r="HFJ159" s="1"/>
      <c r="HFK159" s="1"/>
      <c r="HFL159" s="14"/>
      <c r="HFW159" s="1"/>
      <c r="HFX159" s="1"/>
      <c r="HFY159" s="1"/>
      <c r="HFZ159" s="1"/>
      <c r="HGA159" s="1"/>
      <c r="HGB159" s="14"/>
      <c r="HGM159" s="1"/>
      <c r="HGN159" s="1"/>
      <c r="HGO159" s="1"/>
      <c r="HGP159" s="1"/>
      <c r="HGQ159" s="1"/>
      <c r="HGR159" s="14"/>
      <c r="HHC159" s="1"/>
      <c r="HHD159" s="1"/>
      <c r="HHE159" s="1"/>
      <c r="HHF159" s="1"/>
      <c r="HHG159" s="1"/>
      <c r="HHH159" s="14"/>
      <c r="HHS159" s="1"/>
      <c r="HHT159" s="1"/>
      <c r="HHU159" s="1"/>
      <c r="HHV159" s="1"/>
      <c r="HHW159" s="1"/>
      <c r="HHX159" s="14"/>
      <c r="HII159" s="1"/>
      <c r="HIJ159" s="1"/>
      <c r="HIK159" s="1"/>
      <c r="HIL159" s="1"/>
      <c r="HIM159" s="1"/>
      <c r="HIN159" s="14"/>
      <c r="HIY159" s="1"/>
      <c r="HIZ159" s="1"/>
      <c r="HJA159" s="1"/>
      <c r="HJB159" s="1"/>
      <c r="HJC159" s="1"/>
      <c r="HJD159" s="14"/>
      <c r="HJO159" s="1"/>
      <c r="HJP159" s="1"/>
      <c r="HJQ159" s="1"/>
      <c r="HJR159" s="1"/>
      <c r="HJS159" s="1"/>
      <c r="HJT159" s="14"/>
      <c r="HKE159" s="1"/>
      <c r="HKF159" s="1"/>
      <c r="HKG159" s="1"/>
      <c r="HKH159" s="1"/>
      <c r="HKI159" s="1"/>
      <c r="HKJ159" s="14"/>
      <c r="HKU159" s="1"/>
      <c r="HKV159" s="1"/>
      <c r="HKW159" s="1"/>
      <c r="HKX159" s="1"/>
      <c r="HKY159" s="1"/>
      <c r="HKZ159" s="14"/>
      <c r="HLK159" s="1"/>
      <c r="HLL159" s="1"/>
      <c r="HLM159" s="1"/>
      <c r="HLN159" s="1"/>
      <c r="HLO159" s="1"/>
      <c r="HLP159" s="14"/>
      <c r="HMA159" s="1"/>
      <c r="HMB159" s="1"/>
      <c r="HMC159" s="1"/>
      <c r="HMD159" s="1"/>
      <c r="HME159" s="1"/>
      <c r="HMF159" s="14"/>
      <c r="HMQ159" s="1"/>
      <c r="HMR159" s="1"/>
      <c r="HMS159" s="1"/>
      <c r="HMT159" s="1"/>
      <c r="HMU159" s="1"/>
      <c r="HMV159" s="14"/>
      <c r="HNG159" s="1"/>
      <c r="HNH159" s="1"/>
      <c r="HNI159" s="1"/>
      <c r="HNJ159" s="1"/>
      <c r="HNK159" s="1"/>
      <c r="HNL159" s="14"/>
      <c r="HNW159" s="1"/>
      <c r="HNX159" s="1"/>
      <c r="HNY159" s="1"/>
      <c r="HNZ159" s="1"/>
      <c r="HOA159" s="1"/>
      <c r="HOB159" s="14"/>
      <c r="HOM159" s="1"/>
      <c r="HON159" s="1"/>
      <c r="HOO159" s="1"/>
      <c r="HOP159" s="1"/>
      <c r="HOQ159" s="1"/>
      <c r="HOR159" s="14"/>
      <c r="HPC159" s="1"/>
      <c r="HPD159" s="1"/>
      <c r="HPE159" s="1"/>
      <c r="HPF159" s="1"/>
      <c r="HPG159" s="1"/>
      <c r="HPH159" s="14"/>
      <c r="HPS159" s="1"/>
      <c r="HPT159" s="1"/>
      <c r="HPU159" s="1"/>
      <c r="HPV159" s="1"/>
      <c r="HPW159" s="1"/>
      <c r="HPX159" s="14"/>
      <c r="HQI159" s="1"/>
      <c r="HQJ159" s="1"/>
      <c r="HQK159" s="1"/>
      <c r="HQL159" s="1"/>
      <c r="HQM159" s="1"/>
      <c r="HQN159" s="14"/>
      <c r="HQY159" s="1"/>
      <c r="HQZ159" s="1"/>
      <c r="HRA159" s="1"/>
      <c r="HRB159" s="1"/>
      <c r="HRC159" s="1"/>
      <c r="HRD159" s="14"/>
      <c r="HRO159" s="1"/>
      <c r="HRP159" s="1"/>
      <c r="HRQ159" s="1"/>
      <c r="HRR159" s="1"/>
      <c r="HRS159" s="1"/>
      <c r="HRT159" s="14"/>
      <c r="HSE159" s="1"/>
      <c r="HSF159" s="1"/>
      <c r="HSG159" s="1"/>
      <c r="HSH159" s="1"/>
      <c r="HSI159" s="1"/>
      <c r="HSJ159" s="14"/>
      <c r="HSU159" s="1"/>
      <c r="HSV159" s="1"/>
      <c r="HSW159" s="1"/>
      <c r="HSX159" s="1"/>
      <c r="HSY159" s="1"/>
      <c r="HSZ159" s="14"/>
      <c r="HTK159" s="1"/>
      <c r="HTL159" s="1"/>
      <c r="HTM159" s="1"/>
      <c r="HTN159" s="1"/>
      <c r="HTO159" s="1"/>
      <c r="HTP159" s="14"/>
      <c r="HUA159" s="1"/>
      <c r="HUB159" s="1"/>
      <c r="HUC159" s="1"/>
      <c r="HUD159" s="1"/>
      <c r="HUE159" s="1"/>
      <c r="HUF159" s="14"/>
      <c r="HUQ159" s="1"/>
      <c r="HUR159" s="1"/>
      <c r="HUS159" s="1"/>
      <c r="HUT159" s="1"/>
      <c r="HUU159" s="1"/>
      <c r="HUV159" s="14"/>
      <c r="HVG159" s="1"/>
      <c r="HVH159" s="1"/>
      <c r="HVI159" s="1"/>
      <c r="HVJ159" s="1"/>
      <c r="HVK159" s="1"/>
      <c r="HVL159" s="14"/>
      <c r="HVW159" s="1"/>
      <c r="HVX159" s="1"/>
      <c r="HVY159" s="1"/>
      <c r="HVZ159" s="1"/>
      <c r="HWA159" s="1"/>
      <c r="HWB159" s="14"/>
      <c r="HWM159" s="1"/>
      <c r="HWN159" s="1"/>
      <c r="HWO159" s="1"/>
      <c r="HWP159" s="1"/>
      <c r="HWQ159" s="1"/>
      <c r="HWR159" s="14"/>
      <c r="HXC159" s="1"/>
      <c r="HXD159" s="1"/>
      <c r="HXE159" s="1"/>
      <c r="HXF159" s="1"/>
      <c r="HXG159" s="1"/>
      <c r="HXH159" s="14"/>
      <c r="HXS159" s="1"/>
      <c r="HXT159" s="1"/>
      <c r="HXU159" s="1"/>
      <c r="HXV159" s="1"/>
      <c r="HXW159" s="1"/>
      <c r="HXX159" s="14"/>
      <c r="HYI159" s="1"/>
      <c r="HYJ159" s="1"/>
      <c r="HYK159" s="1"/>
      <c r="HYL159" s="1"/>
      <c r="HYM159" s="1"/>
      <c r="HYN159" s="14"/>
      <c r="HYY159" s="1"/>
      <c r="HYZ159" s="1"/>
      <c r="HZA159" s="1"/>
      <c r="HZB159" s="1"/>
      <c r="HZC159" s="1"/>
      <c r="HZD159" s="14"/>
      <c r="HZO159" s="1"/>
      <c r="HZP159" s="1"/>
      <c r="HZQ159" s="1"/>
      <c r="HZR159" s="1"/>
      <c r="HZS159" s="1"/>
      <c r="HZT159" s="14"/>
      <c r="IAE159" s="1"/>
      <c r="IAF159" s="1"/>
      <c r="IAG159" s="1"/>
      <c r="IAH159" s="1"/>
      <c r="IAI159" s="1"/>
      <c r="IAJ159" s="14"/>
      <c r="IAU159" s="1"/>
      <c r="IAV159" s="1"/>
      <c r="IAW159" s="1"/>
      <c r="IAX159" s="1"/>
      <c r="IAY159" s="1"/>
      <c r="IAZ159" s="14"/>
      <c r="IBK159" s="1"/>
      <c r="IBL159" s="1"/>
      <c r="IBM159" s="1"/>
      <c r="IBN159" s="1"/>
      <c r="IBO159" s="1"/>
      <c r="IBP159" s="14"/>
      <c r="ICA159" s="1"/>
      <c r="ICB159" s="1"/>
      <c r="ICC159" s="1"/>
      <c r="ICD159" s="1"/>
      <c r="ICE159" s="1"/>
      <c r="ICF159" s="14"/>
      <c r="ICQ159" s="1"/>
      <c r="ICR159" s="1"/>
      <c r="ICS159" s="1"/>
      <c r="ICT159" s="1"/>
      <c r="ICU159" s="1"/>
      <c r="ICV159" s="14"/>
      <c r="IDG159" s="1"/>
      <c r="IDH159" s="1"/>
      <c r="IDI159" s="1"/>
      <c r="IDJ159" s="1"/>
      <c r="IDK159" s="1"/>
      <c r="IDL159" s="14"/>
      <c r="IDW159" s="1"/>
      <c r="IDX159" s="1"/>
      <c r="IDY159" s="1"/>
      <c r="IDZ159" s="1"/>
      <c r="IEA159" s="1"/>
      <c r="IEB159" s="14"/>
      <c r="IEM159" s="1"/>
      <c r="IEN159" s="1"/>
      <c r="IEO159" s="1"/>
      <c r="IEP159" s="1"/>
      <c r="IEQ159" s="1"/>
      <c r="IER159" s="14"/>
      <c r="IFC159" s="1"/>
      <c r="IFD159" s="1"/>
      <c r="IFE159" s="1"/>
      <c r="IFF159" s="1"/>
      <c r="IFG159" s="1"/>
      <c r="IFH159" s="14"/>
      <c r="IFS159" s="1"/>
      <c r="IFT159" s="1"/>
      <c r="IFU159" s="1"/>
      <c r="IFV159" s="1"/>
      <c r="IFW159" s="1"/>
      <c r="IFX159" s="14"/>
      <c r="IGI159" s="1"/>
      <c r="IGJ159" s="1"/>
      <c r="IGK159" s="1"/>
      <c r="IGL159" s="1"/>
      <c r="IGM159" s="1"/>
      <c r="IGN159" s="14"/>
      <c r="IGY159" s="1"/>
      <c r="IGZ159" s="1"/>
      <c r="IHA159" s="1"/>
      <c r="IHB159" s="1"/>
      <c r="IHC159" s="1"/>
      <c r="IHD159" s="14"/>
      <c r="IHO159" s="1"/>
      <c r="IHP159" s="1"/>
      <c r="IHQ159" s="1"/>
      <c r="IHR159" s="1"/>
      <c r="IHS159" s="1"/>
      <c r="IHT159" s="14"/>
      <c r="IIE159" s="1"/>
      <c r="IIF159" s="1"/>
      <c r="IIG159" s="1"/>
      <c r="IIH159" s="1"/>
      <c r="III159" s="1"/>
      <c r="IIJ159" s="14"/>
      <c r="IIU159" s="1"/>
      <c r="IIV159" s="1"/>
      <c r="IIW159" s="1"/>
      <c r="IIX159" s="1"/>
      <c r="IIY159" s="1"/>
      <c r="IIZ159" s="14"/>
      <c r="IJK159" s="1"/>
      <c r="IJL159" s="1"/>
      <c r="IJM159" s="1"/>
      <c r="IJN159" s="1"/>
      <c r="IJO159" s="1"/>
      <c r="IJP159" s="14"/>
      <c r="IKA159" s="1"/>
      <c r="IKB159" s="1"/>
      <c r="IKC159" s="1"/>
      <c r="IKD159" s="1"/>
      <c r="IKE159" s="1"/>
      <c r="IKF159" s="14"/>
      <c r="IKQ159" s="1"/>
      <c r="IKR159" s="1"/>
      <c r="IKS159" s="1"/>
      <c r="IKT159" s="1"/>
      <c r="IKU159" s="1"/>
      <c r="IKV159" s="14"/>
      <c r="ILG159" s="1"/>
      <c r="ILH159" s="1"/>
      <c r="ILI159" s="1"/>
      <c r="ILJ159" s="1"/>
      <c r="ILK159" s="1"/>
      <c r="ILL159" s="14"/>
      <c r="ILW159" s="1"/>
      <c r="ILX159" s="1"/>
      <c r="ILY159" s="1"/>
      <c r="ILZ159" s="1"/>
      <c r="IMA159" s="1"/>
      <c r="IMB159" s="14"/>
      <c r="IMM159" s="1"/>
      <c r="IMN159" s="1"/>
      <c r="IMO159" s="1"/>
      <c r="IMP159" s="1"/>
      <c r="IMQ159" s="1"/>
      <c r="IMR159" s="14"/>
      <c r="INC159" s="1"/>
      <c r="IND159" s="1"/>
      <c r="INE159" s="1"/>
      <c r="INF159" s="1"/>
      <c r="ING159" s="1"/>
      <c r="INH159" s="14"/>
      <c r="INS159" s="1"/>
      <c r="INT159" s="1"/>
      <c r="INU159" s="1"/>
      <c r="INV159" s="1"/>
      <c r="INW159" s="1"/>
      <c r="INX159" s="14"/>
      <c r="IOI159" s="1"/>
      <c r="IOJ159" s="1"/>
      <c r="IOK159" s="1"/>
      <c r="IOL159" s="1"/>
      <c r="IOM159" s="1"/>
      <c r="ION159" s="14"/>
      <c r="IOY159" s="1"/>
      <c r="IOZ159" s="1"/>
      <c r="IPA159" s="1"/>
      <c r="IPB159" s="1"/>
      <c r="IPC159" s="1"/>
      <c r="IPD159" s="14"/>
      <c r="IPO159" s="1"/>
      <c r="IPP159" s="1"/>
      <c r="IPQ159" s="1"/>
      <c r="IPR159" s="1"/>
      <c r="IPS159" s="1"/>
      <c r="IPT159" s="14"/>
      <c r="IQE159" s="1"/>
      <c r="IQF159" s="1"/>
      <c r="IQG159" s="1"/>
      <c r="IQH159" s="1"/>
      <c r="IQI159" s="1"/>
      <c r="IQJ159" s="14"/>
      <c r="IQU159" s="1"/>
      <c r="IQV159" s="1"/>
      <c r="IQW159" s="1"/>
      <c r="IQX159" s="1"/>
      <c r="IQY159" s="1"/>
      <c r="IQZ159" s="14"/>
      <c r="IRK159" s="1"/>
      <c r="IRL159" s="1"/>
      <c r="IRM159" s="1"/>
      <c r="IRN159" s="1"/>
      <c r="IRO159" s="1"/>
      <c r="IRP159" s="14"/>
      <c r="ISA159" s="1"/>
      <c r="ISB159" s="1"/>
      <c r="ISC159" s="1"/>
      <c r="ISD159" s="1"/>
      <c r="ISE159" s="1"/>
      <c r="ISF159" s="14"/>
      <c r="ISQ159" s="1"/>
      <c r="ISR159" s="1"/>
      <c r="ISS159" s="1"/>
      <c r="IST159" s="1"/>
      <c r="ISU159" s="1"/>
      <c r="ISV159" s="14"/>
      <c r="ITG159" s="1"/>
      <c r="ITH159" s="1"/>
      <c r="ITI159" s="1"/>
      <c r="ITJ159" s="1"/>
      <c r="ITK159" s="1"/>
      <c r="ITL159" s="14"/>
      <c r="ITW159" s="1"/>
      <c r="ITX159" s="1"/>
      <c r="ITY159" s="1"/>
      <c r="ITZ159" s="1"/>
      <c r="IUA159" s="1"/>
      <c r="IUB159" s="14"/>
      <c r="IUM159" s="1"/>
      <c r="IUN159" s="1"/>
      <c r="IUO159" s="1"/>
      <c r="IUP159" s="1"/>
      <c r="IUQ159" s="1"/>
      <c r="IUR159" s="14"/>
      <c r="IVC159" s="1"/>
      <c r="IVD159" s="1"/>
      <c r="IVE159" s="1"/>
      <c r="IVF159" s="1"/>
      <c r="IVG159" s="1"/>
      <c r="IVH159" s="14"/>
      <c r="IVS159" s="1"/>
      <c r="IVT159" s="1"/>
      <c r="IVU159" s="1"/>
      <c r="IVV159" s="1"/>
      <c r="IVW159" s="1"/>
      <c r="IVX159" s="14"/>
      <c r="IWI159" s="1"/>
      <c r="IWJ159" s="1"/>
      <c r="IWK159" s="1"/>
      <c r="IWL159" s="1"/>
      <c r="IWM159" s="1"/>
      <c r="IWN159" s="14"/>
      <c r="IWY159" s="1"/>
      <c r="IWZ159" s="1"/>
      <c r="IXA159" s="1"/>
      <c r="IXB159" s="1"/>
      <c r="IXC159" s="1"/>
      <c r="IXD159" s="14"/>
      <c r="IXO159" s="1"/>
      <c r="IXP159" s="1"/>
      <c r="IXQ159" s="1"/>
      <c r="IXR159" s="1"/>
      <c r="IXS159" s="1"/>
      <c r="IXT159" s="14"/>
      <c r="IYE159" s="1"/>
      <c r="IYF159" s="1"/>
      <c r="IYG159" s="1"/>
      <c r="IYH159" s="1"/>
      <c r="IYI159" s="1"/>
      <c r="IYJ159" s="14"/>
      <c r="IYU159" s="1"/>
      <c r="IYV159" s="1"/>
      <c r="IYW159" s="1"/>
      <c r="IYX159" s="1"/>
      <c r="IYY159" s="1"/>
      <c r="IYZ159" s="14"/>
      <c r="IZK159" s="1"/>
      <c r="IZL159" s="1"/>
      <c r="IZM159" s="1"/>
      <c r="IZN159" s="1"/>
      <c r="IZO159" s="1"/>
      <c r="IZP159" s="14"/>
      <c r="JAA159" s="1"/>
      <c r="JAB159" s="1"/>
      <c r="JAC159" s="1"/>
      <c r="JAD159" s="1"/>
      <c r="JAE159" s="1"/>
      <c r="JAF159" s="14"/>
      <c r="JAQ159" s="1"/>
      <c r="JAR159" s="1"/>
      <c r="JAS159" s="1"/>
      <c r="JAT159" s="1"/>
      <c r="JAU159" s="1"/>
      <c r="JAV159" s="14"/>
      <c r="JBG159" s="1"/>
      <c r="JBH159" s="1"/>
      <c r="JBI159" s="1"/>
      <c r="JBJ159" s="1"/>
      <c r="JBK159" s="1"/>
      <c r="JBL159" s="14"/>
      <c r="JBW159" s="1"/>
      <c r="JBX159" s="1"/>
      <c r="JBY159" s="1"/>
      <c r="JBZ159" s="1"/>
      <c r="JCA159" s="1"/>
      <c r="JCB159" s="14"/>
      <c r="JCM159" s="1"/>
      <c r="JCN159" s="1"/>
      <c r="JCO159" s="1"/>
      <c r="JCP159" s="1"/>
      <c r="JCQ159" s="1"/>
      <c r="JCR159" s="14"/>
      <c r="JDC159" s="1"/>
      <c r="JDD159" s="1"/>
      <c r="JDE159" s="1"/>
      <c r="JDF159" s="1"/>
      <c r="JDG159" s="1"/>
      <c r="JDH159" s="14"/>
      <c r="JDS159" s="1"/>
      <c r="JDT159" s="1"/>
      <c r="JDU159" s="1"/>
      <c r="JDV159" s="1"/>
      <c r="JDW159" s="1"/>
      <c r="JDX159" s="14"/>
      <c r="JEI159" s="1"/>
      <c r="JEJ159" s="1"/>
      <c r="JEK159" s="1"/>
      <c r="JEL159" s="1"/>
      <c r="JEM159" s="1"/>
      <c r="JEN159" s="14"/>
      <c r="JEY159" s="1"/>
      <c r="JEZ159" s="1"/>
      <c r="JFA159" s="1"/>
      <c r="JFB159" s="1"/>
      <c r="JFC159" s="1"/>
      <c r="JFD159" s="14"/>
      <c r="JFO159" s="1"/>
      <c r="JFP159" s="1"/>
      <c r="JFQ159" s="1"/>
      <c r="JFR159" s="1"/>
      <c r="JFS159" s="1"/>
      <c r="JFT159" s="14"/>
      <c r="JGE159" s="1"/>
      <c r="JGF159" s="1"/>
      <c r="JGG159" s="1"/>
      <c r="JGH159" s="1"/>
      <c r="JGI159" s="1"/>
      <c r="JGJ159" s="14"/>
      <c r="JGU159" s="1"/>
      <c r="JGV159" s="1"/>
      <c r="JGW159" s="1"/>
      <c r="JGX159" s="1"/>
      <c r="JGY159" s="1"/>
      <c r="JGZ159" s="14"/>
      <c r="JHK159" s="1"/>
      <c r="JHL159" s="1"/>
      <c r="JHM159" s="1"/>
      <c r="JHN159" s="1"/>
      <c r="JHO159" s="1"/>
      <c r="JHP159" s="14"/>
      <c r="JIA159" s="1"/>
      <c r="JIB159" s="1"/>
      <c r="JIC159" s="1"/>
      <c r="JID159" s="1"/>
      <c r="JIE159" s="1"/>
      <c r="JIF159" s="14"/>
      <c r="JIQ159" s="1"/>
      <c r="JIR159" s="1"/>
      <c r="JIS159" s="1"/>
      <c r="JIT159" s="1"/>
      <c r="JIU159" s="1"/>
      <c r="JIV159" s="14"/>
      <c r="JJG159" s="1"/>
      <c r="JJH159" s="1"/>
      <c r="JJI159" s="1"/>
      <c r="JJJ159" s="1"/>
      <c r="JJK159" s="1"/>
      <c r="JJL159" s="14"/>
      <c r="JJW159" s="1"/>
      <c r="JJX159" s="1"/>
      <c r="JJY159" s="1"/>
      <c r="JJZ159" s="1"/>
      <c r="JKA159" s="1"/>
      <c r="JKB159" s="14"/>
      <c r="JKM159" s="1"/>
      <c r="JKN159" s="1"/>
      <c r="JKO159" s="1"/>
      <c r="JKP159" s="1"/>
      <c r="JKQ159" s="1"/>
      <c r="JKR159" s="14"/>
      <c r="JLC159" s="1"/>
      <c r="JLD159" s="1"/>
      <c r="JLE159" s="1"/>
      <c r="JLF159" s="1"/>
      <c r="JLG159" s="1"/>
      <c r="JLH159" s="14"/>
      <c r="JLS159" s="1"/>
      <c r="JLT159" s="1"/>
      <c r="JLU159" s="1"/>
      <c r="JLV159" s="1"/>
      <c r="JLW159" s="1"/>
      <c r="JLX159" s="14"/>
      <c r="JMI159" s="1"/>
      <c r="JMJ159" s="1"/>
      <c r="JMK159" s="1"/>
      <c r="JML159" s="1"/>
      <c r="JMM159" s="1"/>
      <c r="JMN159" s="14"/>
      <c r="JMY159" s="1"/>
      <c r="JMZ159" s="1"/>
      <c r="JNA159" s="1"/>
      <c r="JNB159" s="1"/>
      <c r="JNC159" s="1"/>
      <c r="JND159" s="14"/>
      <c r="JNO159" s="1"/>
      <c r="JNP159" s="1"/>
      <c r="JNQ159" s="1"/>
      <c r="JNR159" s="1"/>
      <c r="JNS159" s="1"/>
      <c r="JNT159" s="14"/>
      <c r="JOE159" s="1"/>
      <c r="JOF159" s="1"/>
      <c r="JOG159" s="1"/>
      <c r="JOH159" s="1"/>
      <c r="JOI159" s="1"/>
      <c r="JOJ159" s="14"/>
      <c r="JOU159" s="1"/>
      <c r="JOV159" s="1"/>
      <c r="JOW159" s="1"/>
      <c r="JOX159" s="1"/>
      <c r="JOY159" s="1"/>
      <c r="JOZ159" s="14"/>
      <c r="JPK159" s="1"/>
      <c r="JPL159" s="1"/>
      <c r="JPM159" s="1"/>
      <c r="JPN159" s="1"/>
      <c r="JPO159" s="1"/>
      <c r="JPP159" s="14"/>
      <c r="JQA159" s="1"/>
      <c r="JQB159" s="1"/>
      <c r="JQC159" s="1"/>
      <c r="JQD159" s="1"/>
      <c r="JQE159" s="1"/>
      <c r="JQF159" s="14"/>
      <c r="JQQ159" s="1"/>
      <c r="JQR159" s="1"/>
      <c r="JQS159" s="1"/>
      <c r="JQT159" s="1"/>
      <c r="JQU159" s="1"/>
      <c r="JQV159" s="14"/>
      <c r="JRG159" s="1"/>
      <c r="JRH159" s="1"/>
      <c r="JRI159" s="1"/>
      <c r="JRJ159" s="1"/>
      <c r="JRK159" s="1"/>
      <c r="JRL159" s="14"/>
      <c r="JRW159" s="1"/>
      <c r="JRX159" s="1"/>
      <c r="JRY159" s="1"/>
      <c r="JRZ159" s="1"/>
      <c r="JSA159" s="1"/>
      <c r="JSB159" s="14"/>
      <c r="JSM159" s="1"/>
      <c r="JSN159" s="1"/>
      <c r="JSO159" s="1"/>
      <c r="JSP159" s="1"/>
      <c r="JSQ159" s="1"/>
      <c r="JSR159" s="14"/>
      <c r="JTC159" s="1"/>
      <c r="JTD159" s="1"/>
      <c r="JTE159" s="1"/>
      <c r="JTF159" s="1"/>
      <c r="JTG159" s="1"/>
      <c r="JTH159" s="14"/>
      <c r="JTS159" s="1"/>
      <c r="JTT159" s="1"/>
      <c r="JTU159" s="1"/>
      <c r="JTV159" s="1"/>
      <c r="JTW159" s="1"/>
      <c r="JTX159" s="14"/>
      <c r="JUI159" s="1"/>
      <c r="JUJ159" s="1"/>
      <c r="JUK159" s="1"/>
      <c r="JUL159" s="1"/>
      <c r="JUM159" s="1"/>
      <c r="JUN159" s="14"/>
      <c r="JUY159" s="1"/>
      <c r="JUZ159" s="1"/>
      <c r="JVA159" s="1"/>
      <c r="JVB159" s="1"/>
      <c r="JVC159" s="1"/>
      <c r="JVD159" s="14"/>
      <c r="JVO159" s="1"/>
      <c r="JVP159" s="1"/>
      <c r="JVQ159" s="1"/>
      <c r="JVR159" s="1"/>
      <c r="JVS159" s="1"/>
      <c r="JVT159" s="14"/>
      <c r="JWE159" s="1"/>
      <c r="JWF159" s="1"/>
      <c r="JWG159" s="1"/>
      <c r="JWH159" s="1"/>
      <c r="JWI159" s="1"/>
      <c r="JWJ159" s="14"/>
      <c r="JWU159" s="1"/>
      <c r="JWV159" s="1"/>
      <c r="JWW159" s="1"/>
      <c r="JWX159" s="1"/>
      <c r="JWY159" s="1"/>
      <c r="JWZ159" s="14"/>
      <c r="JXK159" s="1"/>
      <c r="JXL159" s="1"/>
      <c r="JXM159" s="1"/>
      <c r="JXN159" s="1"/>
      <c r="JXO159" s="1"/>
      <c r="JXP159" s="14"/>
      <c r="JYA159" s="1"/>
      <c r="JYB159" s="1"/>
      <c r="JYC159" s="1"/>
      <c r="JYD159" s="1"/>
      <c r="JYE159" s="1"/>
      <c r="JYF159" s="14"/>
      <c r="JYQ159" s="1"/>
      <c r="JYR159" s="1"/>
      <c r="JYS159" s="1"/>
      <c r="JYT159" s="1"/>
      <c r="JYU159" s="1"/>
      <c r="JYV159" s="14"/>
      <c r="JZG159" s="1"/>
      <c r="JZH159" s="1"/>
      <c r="JZI159" s="1"/>
      <c r="JZJ159" s="1"/>
      <c r="JZK159" s="1"/>
      <c r="JZL159" s="14"/>
      <c r="JZW159" s="1"/>
      <c r="JZX159" s="1"/>
      <c r="JZY159" s="1"/>
      <c r="JZZ159" s="1"/>
      <c r="KAA159" s="1"/>
      <c r="KAB159" s="14"/>
      <c r="KAM159" s="1"/>
      <c r="KAN159" s="1"/>
      <c r="KAO159" s="1"/>
      <c r="KAP159" s="1"/>
      <c r="KAQ159" s="1"/>
      <c r="KAR159" s="14"/>
      <c r="KBC159" s="1"/>
      <c r="KBD159" s="1"/>
      <c r="KBE159" s="1"/>
      <c r="KBF159" s="1"/>
      <c r="KBG159" s="1"/>
      <c r="KBH159" s="14"/>
      <c r="KBS159" s="1"/>
      <c r="KBT159" s="1"/>
      <c r="KBU159" s="1"/>
      <c r="KBV159" s="1"/>
      <c r="KBW159" s="1"/>
      <c r="KBX159" s="14"/>
      <c r="KCI159" s="1"/>
      <c r="KCJ159" s="1"/>
      <c r="KCK159" s="1"/>
      <c r="KCL159" s="1"/>
      <c r="KCM159" s="1"/>
      <c r="KCN159" s="14"/>
      <c r="KCY159" s="1"/>
      <c r="KCZ159" s="1"/>
      <c r="KDA159" s="1"/>
      <c r="KDB159" s="1"/>
      <c r="KDC159" s="1"/>
      <c r="KDD159" s="14"/>
      <c r="KDO159" s="1"/>
      <c r="KDP159" s="1"/>
      <c r="KDQ159" s="1"/>
      <c r="KDR159" s="1"/>
      <c r="KDS159" s="1"/>
      <c r="KDT159" s="14"/>
      <c r="KEE159" s="1"/>
      <c r="KEF159" s="1"/>
      <c r="KEG159" s="1"/>
      <c r="KEH159" s="1"/>
      <c r="KEI159" s="1"/>
      <c r="KEJ159" s="14"/>
      <c r="KEU159" s="1"/>
      <c r="KEV159" s="1"/>
      <c r="KEW159" s="1"/>
      <c r="KEX159" s="1"/>
      <c r="KEY159" s="1"/>
      <c r="KEZ159" s="14"/>
      <c r="KFK159" s="1"/>
      <c r="KFL159" s="1"/>
      <c r="KFM159" s="1"/>
      <c r="KFN159" s="1"/>
      <c r="KFO159" s="1"/>
      <c r="KFP159" s="14"/>
      <c r="KGA159" s="1"/>
      <c r="KGB159" s="1"/>
      <c r="KGC159" s="1"/>
      <c r="KGD159" s="1"/>
      <c r="KGE159" s="1"/>
      <c r="KGF159" s="14"/>
      <c r="KGQ159" s="1"/>
      <c r="KGR159" s="1"/>
      <c r="KGS159" s="1"/>
      <c r="KGT159" s="1"/>
      <c r="KGU159" s="1"/>
      <c r="KGV159" s="14"/>
      <c r="KHG159" s="1"/>
      <c r="KHH159" s="1"/>
      <c r="KHI159" s="1"/>
      <c r="KHJ159" s="1"/>
      <c r="KHK159" s="1"/>
      <c r="KHL159" s="14"/>
      <c r="KHW159" s="1"/>
      <c r="KHX159" s="1"/>
      <c r="KHY159" s="1"/>
      <c r="KHZ159" s="1"/>
      <c r="KIA159" s="1"/>
      <c r="KIB159" s="14"/>
      <c r="KIM159" s="1"/>
      <c r="KIN159" s="1"/>
      <c r="KIO159" s="1"/>
      <c r="KIP159" s="1"/>
      <c r="KIQ159" s="1"/>
      <c r="KIR159" s="14"/>
      <c r="KJC159" s="1"/>
      <c r="KJD159" s="1"/>
      <c r="KJE159" s="1"/>
      <c r="KJF159" s="1"/>
      <c r="KJG159" s="1"/>
      <c r="KJH159" s="14"/>
      <c r="KJS159" s="1"/>
      <c r="KJT159" s="1"/>
      <c r="KJU159" s="1"/>
      <c r="KJV159" s="1"/>
      <c r="KJW159" s="1"/>
      <c r="KJX159" s="14"/>
      <c r="KKI159" s="1"/>
      <c r="KKJ159" s="1"/>
      <c r="KKK159" s="1"/>
      <c r="KKL159" s="1"/>
      <c r="KKM159" s="1"/>
      <c r="KKN159" s="14"/>
      <c r="KKY159" s="1"/>
      <c r="KKZ159" s="1"/>
      <c r="KLA159" s="1"/>
      <c r="KLB159" s="1"/>
      <c r="KLC159" s="1"/>
      <c r="KLD159" s="14"/>
      <c r="KLO159" s="1"/>
      <c r="KLP159" s="1"/>
      <c r="KLQ159" s="1"/>
      <c r="KLR159" s="1"/>
      <c r="KLS159" s="1"/>
      <c r="KLT159" s="14"/>
      <c r="KME159" s="1"/>
      <c r="KMF159" s="1"/>
      <c r="KMG159" s="1"/>
      <c r="KMH159" s="1"/>
      <c r="KMI159" s="1"/>
      <c r="KMJ159" s="14"/>
      <c r="KMU159" s="1"/>
      <c r="KMV159" s="1"/>
      <c r="KMW159" s="1"/>
      <c r="KMX159" s="1"/>
      <c r="KMY159" s="1"/>
      <c r="KMZ159" s="14"/>
      <c r="KNK159" s="1"/>
      <c r="KNL159" s="1"/>
      <c r="KNM159" s="1"/>
      <c r="KNN159" s="1"/>
      <c r="KNO159" s="1"/>
      <c r="KNP159" s="14"/>
      <c r="KOA159" s="1"/>
      <c r="KOB159" s="1"/>
      <c r="KOC159" s="1"/>
      <c r="KOD159" s="1"/>
      <c r="KOE159" s="1"/>
      <c r="KOF159" s="14"/>
      <c r="KOQ159" s="1"/>
      <c r="KOR159" s="1"/>
      <c r="KOS159" s="1"/>
      <c r="KOT159" s="1"/>
      <c r="KOU159" s="1"/>
      <c r="KOV159" s="14"/>
      <c r="KPG159" s="1"/>
      <c r="KPH159" s="1"/>
      <c r="KPI159" s="1"/>
      <c r="KPJ159" s="1"/>
      <c r="KPK159" s="1"/>
      <c r="KPL159" s="14"/>
      <c r="KPW159" s="1"/>
      <c r="KPX159" s="1"/>
      <c r="KPY159" s="1"/>
      <c r="KPZ159" s="1"/>
      <c r="KQA159" s="1"/>
      <c r="KQB159" s="14"/>
      <c r="KQM159" s="1"/>
      <c r="KQN159" s="1"/>
      <c r="KQO159" s="1"/>
      <c r="KQP159" s="1"/>
      <c r="KQQ159" s="1"/>
      <c r="KQR159" s="14"/>
      <c r="KRC159" s="1"/>
      <c r="KRD159" s="1"/>
      <c r="KRE159" s="1"/>
      <c r="KRF159" s="1"/>
      <c r="KRG159" s="1"/>
      <c r="KRH159" s="14"/>
      <c r="KRS159" s="1"/>
      <c r="KRT159" s="1"/>
      <c r="KRU159" s="1"/>
      <c r="KRV159" s="1"/>
      <c r="KRW159" s="1"/>
      <c r="KRX159" s="14"/>
      <c r="KSI159" s="1"/>
      <c r="KSJ159" s="1"/>
      <c r="KSK159" s="1"/>
      <c r="KSL159" s="1"/>
      <c r="KSM159" s="1"/>
      <c r="KSN159" s="14"/>
      <c r="KSY159" s="1"/>
      <c r="KSZ159" s="1"/>
      <c r="KTA159" s="1"/>
      <c r="KTB159" s="1"/>
      <c r="KTC159" s="1"/>
      <c r="KTD159" s="14"/>
      <c r="KTO159" s="1"/>
      <c r="KTP159" s="1"/>
      <c r="KTQ159" s="1"/>
      <c r="KTR159" s="1"/>
      <c r="KTS159" s="1"/>
      <c r="KTT159" s="14"/>
      <c r="KUE159" s="1"/>
      <c r="KUF159" s="1"/>
      <c r="KUG159" s="1"/>
      <c r="KUH159" s="1"/>
      <c r="KUI159" s="1"/>
      <c r="KUJ159" s="14"/>
      <c r="KUU159" s="1"/>
      <c r="KUV159" s="1"/>
      <c r="KUW159" s="1"/>
      <c r="KUX159" s="1"/>
      <c r="KUY159" s="1"/>
      <c r="KUZ159" s="14"/>
      <c r="KVK159" s="1"/>
      <c r="KVL159" s="1"/>
      <c r="KVM159" s="1"/>
      <c r="KVN159" s="1"/>
      <c r="KVO159" s="1"/>
      <c r="KVP159" s="14"/>
      <c r="KWA159" s="1"/>
      <c r="KWB159" s="1"/>
      <c r="KWC159" s="1"/>
      <c r="KWD159" s="1"/>
      <c r="KWE159" s="1"/>
      <c r="KWF159" s="14"/>
      <c r="KWQ159" s="1"/>
      <c r="KWR159" s="1"/>
      <c r="KWS159" s="1"/>
      <c r="KWT159" s="1"/>
      <c r="KWU159" s="1"/>
      <c r="KWV159" s="14"/>
      <c r="KXG159" s="1"/>
      <c r="KXH159" s="1"/>
      <c r="KXI159" s="1"/>
      <c r="KXJ159" s="1"/>
      <c r="KXK159" s="1"/>
      <c r="KXL159" s="14"/>
      <c r="KXW159" s="1"/>
      <c r="KXX159" s="1"/>
      <c r="KXY159" s="1"/>
      <c r="KXZ159" s="1"/>
      <c r="KYA159" s="1"/>
      <c r="KYB159" s="14"/>
      <c r="KYM159" s="1"/>
      <c r="KYN159" s="1"/>
      <c r="KYO159" s="1"/>
      <c r="KYP159" s="1"/>
      <c r="KYQ159" s="1"/>
      <c r="KYR159" s="14"/>
      <c r="KZC159" s="1"/>
      <c r="KZD159" s="1"/>
      <c r="KZE159" s="1"/>
      <c r="KZF159" s="1"/>
      <c r="KZG159" s="1"/>
      <c r="KZH159" s="14"/>
      <c r="KZS159" s="1"/>
      <c r="KZT159" s="1"/>
      <c r="KZU159" s="1"/>
      <c r="KZV159" s="1"/>
      <c r="KZW159" s="1"/>
      <c r="KZX159" s="14"/>
      <c r="LAI159" s="1"/>
      <c r="LAJ159" s="1"/>
      <c r="LAK159" s="1"/>
      <c r="LAL159" s="1"/>
      <c r="LAM159" s="1"/>
      <c r="LAN159" s="14"/>
      <c r="LAY159" s="1"/>
      <c r="LAZ159" s="1"/>
      <c r="LBA159" s="1"/>
      <c r="LBB159" s="1"/>
      <c r="LBC159" s="1"/>
      <c r="LBD159" s="14"/>
      <c r="LBO159" s="1"/>
      <c r="LBP159" s="1"/>
      <c r="LBQ159" s="1"/>
      <c r="LBR159" s="1"/>
      <c r="LBS159" s="1"/>
      <c r="LBT159" s="14"/>
      <c r="LCE159" s="1"/>
      <c r="LCF159" s="1"/>
      <c r="LCG159" s="1"/>
      <c r="LCH159" s="1"/>
      <c r="LCI159" s="1"/>
      <c r="LCJ159" s="14"/>
      <c r="LCU159" s="1"/>
      <c r="LCV159" s="1"/>
      <c r="LCW159" s="1"/>
      <c r="LCX159" s="1"/>
      <c r="LCY159" s="1"/>
      <c r="LCZ159" s="14"/>
      <c r="LDK159" s="1"/>
      <c r="LDL159" s="1"/>
      <c r="LDM159" s="1"/>
      <c r="LDN159" s="1"/>
      <c r="LDO159" s="1"/>
      <c r="LDP159" s="14"/>
      <c r="LEA159" s="1"/>
      <c r="LEB159" s="1"/>
      <c r="LEC159" s="1"/>
      <c r="LED159" s="1"/>
      <c r="LEE159" s="1"/>
      <c r="LEF159" s="14"/>
      <c r="LEQ159" s="1"/>
      <c r="LER159" s="1"/>
      <c r="LES159" s="1"/>
      <c r="LET159" s="1"/>
      <c r="LEU159" s="1"/>
      <c r="LEV159" s="14"/>
      <c r="LFG159" s="1"/>
      <c r="LFH159" s="1"/>
      <c r="LFI159" s="1"/>
      <c r="LFJ159" s="1"/>
      <c r="LFK159" s="1"/>
      <c r="LFL159" s="14"/>
      <c r="LFW159" s="1"/>
      <c r="LFX159" s="1"/>
      <c r="LFY159" s="1"/>
      <c r="LFZ159" s="1"/>
      <c r="LGA159" s="1"/>
      <c r="LGB159" s="14"/>
      <c r="LGM159" s="1"/>
      <c r="LGN159" s="1"/>
      <c r="LGO159" s="1"/>
      <c r="LGP159" s="1"/>
      <c r="LGQ159" s="1"/>
      <c r="LGR159" s="14"/>
      <c r="LHC159" s="1"/>
      <c r="LHD159" s="1"/>
      <c r="LHE159" s="1"/>
      <c r="LHF159" s="1"/>
      <c r="LHG159" s="1"/>
      <c r="LHH159" s="14"/>
      <c r="LHS159" s="1"/>
      <c r="LHT159" s="1"/>
      <c r="LHU159" s="1"/>
      <c r="LHV159" s="1"/>
      <c r="LHW159" s="1"/>
      <c r="LHX159" s="14"/>
      <c r="LII159" s="1"/>
      <c r="LIJ159" s="1"/>
      <c r="LIK159" s="1"/>
      <c r="LIL159" s="1"/>
      <c r="LIM159" s="1"/>
      <c r="LIN159" s="14"/>
      <c r="LIY159" s="1"/>
      <c r="LIZ159" s="1"/>
      <c r="LJA159" s="1"/>
      <c r="LJB159" s="1"/>
      <c r="LJC159" s="1"/>
      <c r="LJD159" s="14"/>
      <c r="LJO159" s="1"/>
      <c r="LJP159" s="1"/>
      <c r="LJQ159" s="1"/>
      <c r="LJR159" s="1"/>
      <c r="LJS159" s="1"/>
      <c r="LJT159" s="14"/>
      <c r="LKE159" s="1"/>
      <c r="LKF159" s="1"/>
      <c r="LKG159" s="1"/>
      <c r="LKH159" s="1"/>
      <c r="LKI159" s="1"/>
      <c r="LKJ159" s="14"/>
      <c r="LKU159" s="1"/>
      <c r="LKV159" s="1"/>
      <c r="LKW159" s="1"/>
      <c r="LKX159" s="1"/>
      <c r="LKY159" s="1"/>
      <c r="LKZ159" s="14"/>
      <c r="LLK159" s="1"/>
      <c r="LLL159" s="1"/>
      <c r="LLM159" s="1"/>
      <c r="LLN159" s="1"/>
      <c r="LLO159" s="1"/>
      <c r="LLP159" s="14"/>
      <c r="LMA159" s="1"/>
      <c r="LMB159" s="1"/>
      <c r="LMC159" s="1"/>
      <c r="LMD159" s="1"/>
      <c r="LME159" s="1"/>
      <c r="LMF159" s="14"/>
      <c r="LMQ159" s="1"/>
      <c r="LMR159" s="1"/>
      <c r="LMS159" s="1"/>
      <c r="LMT159" s="1"/>
      <c r="LMU159" s="1"/>
      <c r="LMV159" s="14"/>
      <c r="LNG159" s="1"/>
      <c r="LNH159" s="1"/>
      <c r="LNI159" s="1"/>
      <c r="LNJ159" s="1"/>
      <c r="LNK159" s="1"/>
      <c r="LNL159" s="14"/>
      <c r="LNW159" s="1"/>
      <c r="LNX159" s="1"/>
      <c r="LNY159" s="1"/>
      <c r="LNZ159" s="1"/>
      <c r="LOA159" s="1"/>
      <c r="LOB159" s="14"/>
      <c r="LOM159" s="1"/>
      <c r="LON159" s="1"/>
      <c r="LOO159" s="1"/>
      <c r="LOP159" s="1"/>
      <c r="LOQ159" s="1"/>
      <c r="LOR159" s="14"/>
      <c r="LPC159" s="1"/>
      <c r="LPD159" s="1"/>
      <c r="LPE159" s="1"/>
      <c r="LPF159" s="1"/>
      <c r="LPG159" s="1"/>
      <c r="LPH159" s="14"/>
      <c r="LPS159" s="1"/>
      <c r="LPT159" s="1"/>
      <c r="LPU159" s="1"/>
      <c r="LPV159" s="1"/>
      <c r="LPW159" s="1"/>
      <c r="LPX159" s="14"/>
      <c r="LQI159" s="1"/>
      <c r="LQJ159" s="1"/>
      <c r="LQK159" s="1"/>
      <c r="LQL159" s="1"/>
      <c r="LQM159" s="1"/>
      <c r="LQN159" s="14"/>
      <c r="LQY159" s="1"/>
      <c r="LQZ159" s="1"/>
      <c r="LRA159" s="1"/>
      <c r="LRB159" s="1"/>
      <c r="LRC159" s="1"/>
      <c r="LRD159" s="14"/>
      <c r="LRO159" s="1"/>
      <c r="LRP159" s="1"/>
      <c r="LRQ159" s="1"/>
      <c r="LRR159" s="1"/>
      <c r="LRS159" s="1"/>
      <c r="LRT159" s="14"/>
      <c r="LSE159" s="1"/>
      <c r="LSF159" s="1"/>
      <c r="LSG159" s="1"/>
      <c r="LSH159" s="1"/>
      <c r="LSI159" s="1"/>
      <c r="LSJ159" s="14"/>
      <c r="LSU159" s="1"/>
      <c r="LSV159" s="1"/>
      <c r="LSW159" s="1"/>
      <c r="LSX159" s="1"/>
      <c r="LSY159" s="1"/>
      <c r="LSZ159" s="14"/>
      <c r="LTK159" s="1"/>
      <c r="LTL159" s="1"/>
      <c r="LTM159" s="1"/>
      <c r="LTN159" s="1"/>
      <c r="LTO159" s="1"/>
      <c r="LTP159" s="14"/>
      <c r="LUA159" s="1"/>
      <c r="LUB159" s="1"/>
      <c r="LUC159" s="1"/>
      <c r="LUD159" s="1"/>
      <c r="LUE159" s="1"/>
      <c r="LUF159" s="14"/>
      <c r="LUQ159" s="1"/>
      <c r="LUR159" s="1"/>
      <c r="LUS159" s="1"/>
      <c r="LUT159" s="1"/>
      <c r="LUU159" s="1"/>
      <c r="LUV159" s="14"/>
      <c r="LVG159" s="1"/>
      <c r="LVH159" s="1"/>
      <c r="LVI159" s="1"/>
      <c r="LVJ159" s="1"/>
      <c r="LVK159" s="1"/>
      <c r="LVL159" s="14"/>
      <c r="LVW159" s="1"/>
      <c r="LVX159" s="1"/>
      <c r="LVY159" s="1"/>
      <c r="LVZ159" s="1"/>
      <c r="LWA159" s="1"/>
      <c r="LWB159" s="14"/>
      <c r="LWM159" s="1"/>
      <c r="LWN159" s="1"/>
      <c r="LWO159" s="1"/>
      <c r="LWP159" s="1"/>
      <c r="LWQ159" s="1"/>
      <c r="LWR159" s="14"/>
      <c r="LXC159" s="1"/>
      <c r="LXD159" s="1"/>
      <c r="LXE159" s="1"/>
      <c r="LXF159" s="1"/>
      <c r="LXG159" s="1"/>
      <c r="LXH159" s="14"/>
      <c r="LXS159" s="1"/>
      <c r="LXT159" s="1"/>
      <c r="LXU159" s="1"/>
      <c r="LXV159" s="1"/>
      <c r="LXW159" s="1"/>
      <c r="LXX159" s="14"/>
      <c r="LYI159" s="1"/>
      <c r="LYJ159" s="1"/>
      <c r="LYK159" s="1"/>
      <c r="LYL159" s="1"/>
      <c r="LYM159" s="1"/>
      <c r="LYN159" s="14"/>
      <c r="LYY159" s="1"/>
      <c r="LYZ159" s="1"/>
      <c r="LZA159" s="1"/>
      <c r="LZB159" s="1"/>
      <c r="LZC159" s="1"/>
      <c r="LZD159" s="14"/>
      <c r="LZO159" s="1"/>
      <c r="LZP159" s="1"/>
      <c r="LZQ159" s="1"/>
      <c r="LZR159" s="1"/>
      <c r="LZS159" s="1"/>
      <c r="LZT159" s="14"/>
      <c r="MAE159" s="1"/>
      <c r="MAF159" s="1"/>
      <c r="MAG159" s="1"/>
      <c r="MAH159" s="1"/>
      <c r="MAI159" s="1"/>
      <c r="MAJ159" s="14"/>
      <c r="MAU159" s="1"/>
      <c r="MAV159" s="1"/>
      <c r="MAW159" s="1"/>
      <c r="MAX159" s="1"/>
      <c r="MAY159" s="1"/>
      <c r="MAZ159" s="14"/>
      <c r="MBK159" s="1"/>
      <c r="MBL159" s="1"/>
      <c r="MBM159" s="1"/>
      <c r="MBN159" s="1"/>
      <c r="MBO159" s="1"/>
      <c r="MBP159" s="14"/>
      <c r="MCA159" s="1"/>
      <c r="MCB159" s="1"/>
      <c r="MCC159" s="1"/>
      <c r="MCD159" s="1"/>
      <c r="MCE159" s="1"/>
      <c r="MCF159" s="14"/>
      <c r="MCQ159" s="1"/>
      <c r="MCR159" s="1"/>
      <c r="MCS159" s="1"/>
      <c r="MCT159" s="1"/>
      <c r="MCU159" s="1"/>
      <c r="MCV159" s="14"/>
      <c r="MDG159" s="1"/>
      <c r="MDH159" s="1"/>
      <c r="MDI159" s="1"/>
      <c r="MDJ159" s="1"/>
      <c r="MDK159" s="1"/>
      <c r="MDL159" s="14"/>
      <c r="MDW159" s="1"/>
      <c r="MDX159" s="1"/>
      <c r="MDY159" s="1"/>
      <c r="MDZ159" s="1"/>
      <c r="MEA159" s="1"/>
      <c r="MEB159" s="14"/>
      <c r="MEM159" s="1"/>
      <c r="MEN159" s="1"/>
      <c r="MEO159" s="1"/>
      <c r="MEP159" s="1"/>
      <c r="MEQ159" s="1"/>
      <c r="MER159" s="14"/>
      <c r="MFC159" s="1"/>
      <c r="MFD159" s="1"/>
      <c r="MFE159" s="1"/>
      <c r="MFF159" s="1"/>
      <c r="MFG159" s="1"/>
      <c r="MFH159" s="14"/>
      <c r="MFS159" s="1"/>
      <c r="MFT159" s="1"/>
      <c r="MFU159" s="1"/>
      <c r="MFV159" s="1"/>
      <c r="MFW159" s="1"/>
      <c r="MFX159" s="14"/>
      <c r="MGI159" s="1"/>
      <c r="MGJ159" s="1"/>
      <c r="MGK159" s="1"/>
      <c r="MGL159" s="1"/>
      <c r="MGM159" s="1"/>
      <c r="MGN159" s="14"/>
      <c r="MGY159" s="1"/>
      <c r="MGZ159" s="1"/>
      <c r="MHA159" s="1"/>
      <c r="MHB159" s="1"/>
      <c r="MHC159" s="1"/>
      <c r="MHD159" s="14"/>
      <c r="MHO159" s="1"/>
      <c r="MHP159" s="1"/>
      <c r="MHQ159" s="1"/>
      <c r="MHR159" s="1"/>
      <c r="MHS159" s="1"/>
      <c r="MHT159" s="14"/>
      <c r="MIE159" s="1"/>
      <c r="MIF159" s="1"/>
      <c r="MIG159" s="1"/>
      <c r="MIH159" s="1"/>
      <c r="MII159" s="1"/>
      <c r="MIJ159" s="14"/>
      <c r="MIU159" s="1"/>
      <c r="MIV159" s="1"/>
      <c r="MIW159" s="1"/>
      <c r="MIX159" s="1"/>
      <c r="MIY159" s="1"/>
      <c r="MIZ159" s="14"/>
      <c r="MJK159" s="1"/>
      <c r="MJL159" s="1"/>
      <c r="MJM159" s="1"/>
      <c r="MJN159" s="1"/>
      <c r="MJO159" s="1"/>
      <c r="MJP159" s="14"/>
      <c r="MKA159" s="1"/>
      <c r="MKB159" s="1"/>
      <c r="MKC159" s="1"/>
      <c r="MKD159" s="1"/>
      <c r="MKE159" s="1"/>
      <c r="MKF159" s="14"/>
      <c r="MKQ159" s="1"/>
      <c r="MKR159" s="1"/>
      <c r="MKS159" s="1"/>
      <c r="MKT159" s="1"/>
      <c r="MKU159" s="1"/>
      <c r="MKV159" s="14"/>
      <c r="MLG159" s="1"/>
      <c r="MLH159" s="1"/>
      <c r="MLI159" s="1"/>
      <c r="MLJ159" s="1"/>
      <c r="MLK159" s="1"/>
      <c r="MLL159" s="14"/>
      <c r="MLW159" s="1"/>
      <c r="MLX159" s="1"/>
      <c r="MLY159" s="1"/>
      <c r="MLZ159" s="1"/>
      <c r="MMA159" s="1"/>
      <c r="MMB159" s="14"/>
      <c r="MMM159" s="1"/>
      <c r="MMN159" s="1"/>
      <c r="MMO159" s="1"/>
      <c r="MMP159" s="1"/>
      <c r="MMQ159" s="1"/>
      <c r="MMR159" s="14"/>
      <c r="MNC159" s="1"/>
      <c r="MND159" s="1"/>
      <c r="MNE159" s="1"/>
      <c r="MNF159" s="1"/>
      <c r="MNG159" s="1"/>
      <c r="MNH159" s="14"/>
      <c r="MNS159" s="1"/>
      <c r="MNT159" s="1"/>
      <c r="MNU159" s="1"/>
      <c r="MNV159" s="1"/>
      <c r="MNW159" s="1"/>
      <c r="MNX159" s="14"/>
      <c r="MOI159" s="1"/>
      <c r="MOJ159" s="1"/>
      <c r="MOK159" s="1"/>
      <c r="MOL159" s="1"/>
      <c r="MOM159" s="1"/>
      <c r="MON159" s="14"/>
      <c r="MOY159" s="1"/>
      <c r="MOZ159" s="1"/>
      <c r="MPA159" s="1"/>
      <c r="MPB159" s="1"/>
      <c r="MPC159" s="1"/>
      <c r="MPD159" s="14"/>
      <c r="MPO159" s="1"/>
      <c r="MPP159" s="1"/>
      <c r="MPQ159" s="1"/>
      <c r="MPR159" s="1"/>
      <c r="MPS159" s="1"/>
      <c r="MPT159" s="14"/>
      <c r="MQE159" s="1"/>
      <c r="MQF159" s="1"/>
      <c r="MQG159" s="1"/>
      <c r="MQH159" s="1"/>
      <c r="MQI159" s="1"/>
      <c r="MQJ159" s="14"/>
      <c r="MQU159" s="1"/>
      <c r="MQV159" s="1"/>
      <c r="MQW159" s="1"/>
      <c r="MQX159" s="1"/>
      <c r="MQY159" s="1"/>
      <c r="MQZ159" s="14"/>
      <c r="MRK159" s="1"/>
      <c r="MRL159" s="1"/>
      <c r="MRM159" s="1"/>
      <c r="MRN159" s="1"/>
      <c r="MRO159" s="1"/>
      <c r="MRP159" s="14"/>
      <c r="MSA159" s="1"/>
      <c r="MSB159" s="1"/>
      <c r="MSC159" s="1"/>
      <c r="MSD159" s="1"/>
      <c r="MSE159" s="1"/>
      <c r="MSF159" s="14"/>
      <c r="MSQ159" s="1"/>
      <c r="MSR159" s="1"/>
      <c r="MSS159" s="1"/>
      <c r="MST159" s="1"/>
      <c r="MSU159" s="1"/>
      <c r="MSV159" s="14"/>
      <c r="MTG159" s="1"/>
      <c r="MTH159" s="1"/>
      <c r="MTI159" s="1"/>
      <c r="MTJ159" s="1"/>
      <c r="MTK159" s="1"/>
      <c r="MTL159" s="14"/>
      <c r="MTW159" s="1"/>
      <c r="MTX159" s="1"/>
      <c r="MTY159" s="1"/>
      <c r="MTZ159" s="1"/>
      <c r="MUA159" s="1"/>
      <c r="MUB159" s="14"/>
      <c r="MUM159" s="1"/>
      <c r="MUN159" s="1"/>
      <c r="MUO159" s="1"/>
      <c r="MUP159" s="1"/>
      <c r="MUQ159" s="1"/>
      <c r="MUR159" s="14"/>
      <c r="MVC159" s="1"/>
      <c r="MVD159" s="1"/>
      <c r="MVE159" s="1"/>
      <c r="MVF159" s="1"/>
      <c r="MVG159" s="1"/>
      <c r="MVH159" s="14"/>
      <c r="MVS159" s="1"/>
      <c r="MVT159" s="1"/>
      <c r="MVU159" s="1"/>
      <c r="MVV159" s="1"/>
      <c r="MVW159" s="1"/>
      <c r="MVX159" s="14"/>
      <c r="MWI159" s="1"/>
      <c r="MWJ159" s="1"/>
      <c r="MWK159" s="1"/>
      <c r="MWL159" s="1"/>
      <c r="MWM159" s="1"/>
      <c r="MWN159" s="14"/>
      <c r="MWY159" s="1"/>
      <c r="MWZ159" s="1"/>
      <c r="MXA159" s="1"/>
      <c r="MXB159" s="1"/>
      <c r="MXC159" s="1"/>
      <c r="MXD159" s="14"/>
      <c r="MXO159" s="1"/>
      <c r="MXP159" s="1"/>
      <c r="MXQ159" s="1"/>
      <c r="MXR159" s="1"/>
      <c r="MXS159" s="1"/>
      <c r="MXT159" s="14"/>
      <c r="MYE159" s="1"/>
      <c r="MYF159" s="1"/>
      <c r="MYG159" s="1"/>
      <c r="MYH159" s="1"/>
      <c r="MYI159" s="1"/>
      <c r="MYJ159" s="14"/>
      <c r="MYU159" s="1"/>
      <c r="MYV159" s="1"/>
      <c r="MYW159" s="1"/>
      <c r="MYX159" s="1"/>
      <c r="MYY159" s="1"/>
      <c r="MYZ159" s="14"/>
      <c r="MZK159" s="1"/>
      <c r="MZL159" s="1"/>
      <c r="MZM159" s="1"/>
      <c r="MZN159" s="1"/>
      <c r="MZO159" s="1"/>
      <c r="MZP159" s="14"/>
      <c r="NAA159" s="1"/>
      <c r="NAB159" s="1"/>
      <c r="NAC159" s="1"/>
      <c r="NAD159" s="1"/>
      <c r="NAE159" s="1"/>
      <c r="NAF159" s="14"/>
      <c r="NAQ159" s="1"/>
      <c r="NAR159" s="1"/>
      <c r="NAS159" s="1"/>
      <c r="NAT159" s="1"/>
      <c r="NAU159" s="1"/>
      <c r="NAV159" s="14"/>
      <c r="NBG159" s="1"/>
      <c r="NBH159" s="1"/>
      <c r="NBI159" s="1"/>
      <c r="NBJ159" s="1"/>
      <c r="NBK159" s="1"/>
      <c r="NBL159" s="14"/>
      <c r="NBW159" s="1"/>
      <c r="NBX159" s="1"/>
      <c r="NBY159" s="1"/>
      <c r="NBZ159" s="1"/>
      <c r="NCA159" s="1"/>
      <c r="NCB159" s="14"/>
      <c r="NCM159" s="1"/>
      <c r="NCN159" s="1"/>
      <c r="NCO159" s="1"/>
      <c r="NCP159" s="1"/>
      <c r="NCQ159" s="1"/>
      <c r="NCR159" s="14"/>
      <c r="NDC159" s="1"/>
      <c r="NDD159" s="1"/>
      <c r="NDE159" s="1"/>
      <c r="NDF159" s="1"/>
      <c r="NDG159" s="1"/>
      <c r="NDH159" s="14"/>
      <c r="NDS159" s="1"/>
      <c r="NDT159" s="1"/>
      <c r="NDU159" s="1"/>
      <c r="NDV159" s="1"/>
      <c r="NDW159" s="1"/>
      <c r="NDX159" s="14"/>
      <c r="NEI159" s="1"/>
      <c r="NEJ159" s="1"/>
      <c r="NEK159" s="1"/>
      <c r="NEL159" s="1"/>
      <c r="NEM159" s="1"/>
      <c r="NEN159" s="14"/>
      <c r="NEY159" s="1"/>
      <c r="NEZ159" s="1"/>
      <c r="NFA159" s="1"/>
      <c r="NFB159" s="1"/>
      <c r="NFC159" s="1"/>
      <c r="NFD159" s="14"/>
      <c r="NFO159" s="1"/>
      <c r="NFP159" s="1"/>
      <c r="NFQ159" s="1"/>
      <c r="NFR159" s="1"/>
      <c r="NFS159" s="1"/>
      <c r="NFT159" s="14"/>
      <c r="NGE159" s="1"/>
      <c r="NGF159" s="1"/>
      <c r="NGG159" s="1"/>
      <c r="NGH159" s="1"/>
      <c r="NGI159" s="1"/>
      <c r="NGJ159" s="14"/>
      <c r="NGU159" s="1"/>
      <c r="NGV159" s="1"/>
      <c r="NGW159" s="1"/>
      <c r="NGX159" s="1"/>
      <c r="NGY159" s="1"/>
      <c r="NGZ159" s="14"/>
      <c r="NHK159" s="1"/>
      <c r="NHL159" s="1"/>
      <c r="NHM159" s="1"/>
      <c r="NHN159" s="1"/>
      <c r="NHO159" s="1"/>
      <c r="NHP159" s="14"/>
      <c r="NIA159" s="1"/>
      <c r="NIB159" s="1"/>
      <c r="NIC159" s="1"/>
      <c r="NID159" s="1"/>
      <c r="NIE159" s="1"/>
      <c r="NIF159" s="14"/>
      <c r="NIQ159" s="1"/>
      <c r="NIR159" s="1"/>
      <c r="NIS159" s="1"/>
      <c r="NIT159" s="1"/>
      <c r="NIU159" s="1"/>
      <c r="NIV159" s="14"/>
      <c r="NJG159" s="1"/>
      <c r="NJH159" s="1"/>
      <c r="NJI159" s="1"/>
      <c r="NJJ159" s="1"/>
      <c r="NJK159" s="1"/>
      <c r="NJL159" s="14"/>
      <c r="NJW159" s="1"/>
      <c r="NJX159" s="1"/>
      <c r="NJY159" s="1"/>
      <c r="NJZ159" s="1"/>
      <c r="NKA159" s="1"/>
      <c r="NKB159" s="14"/>
      <c r="NKM159" s="1"/>
      <c r="NKN159" s="1"/>
      <c r="NKO159" s="1"/>
      <c r="NKP159" s="1"/>
      <c r="NKQ159" s="1"/>
      <c r="NKR159" s="14"/>
      <c r="NLC159" s="1"/>
      <c r="NLD159" s="1"/>
      <c r="NLE159" s="1"/>
      <c r="NLF159" s="1"/>
      <c r="NLG159" s="1"/>
      <c r="NLH159" s="14"/>
      <c r="NLS159" s="1"/>
      <c r="NLT159" s="1"/>
      <c r="NLU159" s="1"/>
      <c r="NLV159" s="1"/>
      <c r="NLW159" s="1"/>
      <c r="NLX159" s="14"/>
      <c r="NMI159" s="1"/>
      <c r="NMJ159" s="1"/>
      <c r="NMK159" s="1"/>
      <c r="NML159" s="1"/>
      <c r="NMM159" s="1"/>
      <c r="NMN159" s="14"/>
      <c r="NMY159" s="1"/>
      <c r="NMZ159" s="1"/>
      <c r="NNA159" s="1"/>
      <c r="NNB159" s="1"/>
      <c r="NNC159" s="1"/>
      <c r="NND159" s="14"/>
      <c r="NNO159" s="1"/>
      <c r="NNP159" s="1"/>
      <c r="NNQ159" s="1"/>
      <c r="NNR159" s="1"/>
      <c r="NNS159" s="1"/>
      <c r="NNT159" s="14"/>
      <c r="NOE159" s="1"/>
      <c r="NOF159" s="1"/>
      <c r="NOG159" s="1"/>
      <c r="NOH159" s="1"/>
      <c r="NOI159" s="1"/>
      <c r="NOJ159" s="14"/>
      <c r="NOU159" s="1"/>
      <c r="NOV159" s="1"/>
      <c r="NOW159" s="1"/>
      <c r="NOX159" s="1"/>
      <c r="NOY159" s="1"/>
      <c r="NOZ159" s="14"/>
      <c r="NPK159" s="1"/>
      <c r="NPL159" s="1"/>
      <c r="NPM159" s="1"/>
      <c r="NPN159" s="1"/>
      <c r="NPO159" s="1"/>
      <c r="NPP159" s="14"/>
      <c r="NQA159" s="1"/>
      <c r="NQB159" s="1"/>
      <c r="NQC159" s="1"/>
      <c r="NQD159" s="1"/>
      <c r="NQE159" s="1"/>
      <c r="NQF159" s="14"/>
      <c r="NQQ159" s="1"/>
      <c r="NQR159" s="1"/>
      <c r="NQS159" s="1"/>
      <c r="NQT159" s="1"/>
      <c r="NQU159" s="1"/>
      <c r="NQV159" s="14"/>
      <c r="NRG159" s="1"/>
      <c r="NRH159" s="1"/>
      <c r="NRI159" s="1"/>
      <c r="NRJ159" s="1"/>
      <c r="NRK159" s="1"/>
      <c r="NRL159" s="14"/>
      <c r="NRW159" s="1"/>
      <c r="NRX159" s="1"/>
      <c r="NRY159" s="1"/>
      <c r="NRZ159" s="1"/>
      <c r="NSA159" s="1"/>
      <c r="NSB159" s="14"/>
      <c r="NSM159" s="1"/>
      <c r="NSN159" s="1"/>
      <c r="NSO159" s="1"/>
      <c r="NSP159" s="1"/>
      <c r="NSQ159" s="1"/>
      <c r="NSR159" s="14"/>
      <c r="NTC159" s="1"/>
      <c r="NTD159" s="1"/>
      <c r="NTE159" s="1"/>
      <c r="NTF159" s="1"/>
      <c r="NTG159" s="1"/>
      <c r="NTH159" s="14"/>
      <c r="NTS159" s="1"/>
      <c r="NTT159" s="1"/>
      <c r="NTU159" s="1"/>
      <c r="NTV159" s="1"/>
      <c r="NTW159" s="1"/>
      <c r="NTX159" s="14"/>
      <c r="NUI159" s="1"/>
      <c r="NUJ159" s="1"/>
      <c r="NUK159" s="1"/>
      <c r="NUL159" s="1"/>
      <c r="NUM159" s="1"/>
      <c r="NUN159" s="14"/>
      <c r="NUY159" s="1"/>
      <c r="NUZ159" s="1"/>
      <c r="NVA159" s="1"/>
      <c r="NVB159" s="1"/>
      <c r="NVC159" s="1"/>
      <c r="NVD159" s="14"/>
      <c r="NVO159" s="1"/>
      <c r="NVP159" s="1"/>
      <c r="NVQ159" s="1"/>
      <c r="NVR159" s="1"/>
      <c r="NVS159" s="1"/>
      <c r="NVT159" s="14"/>
      <c r="NWE159" s="1"/>
      <c r="NWF159" s="1"/>
      <c r="NWG159" s="1"/>
      <c r="NWH159" s="1"/>
      <c r="NWI159" s="1"/>
      <c r="NWJ159" s="14"/>
      <c r="NWU159" s="1"/>
      <c r="NWV159" s="1"/>
      <c r="NWW159" s="1"/>
      <c r="NWX159" s="1"/>
      <c r="NWY159" s="1"/>
      <c r="NWZ159" s="14"/>
      <c r="NXK159" s="1"/>
      <c r="NXL159" s="1"/>
      <c r="NXM159" s="1"/>
      <c r="NXN159" s="1"/>
      <c r="NXO159" s="1"/>
      <c r="NXP159" s="14"/>
      <c r="NYA159" s="1"/>
      <c r="NYB159" s="1"/>
      <c r="NYC159" s="1"/>
      <c r="NYD159" s="1"/>
      <c r="NYE159" s="1"/>
      <c r="NYF159" s="14"/>
      <c r="NYQ159" s="1"/>
      <c r="NYR159" s="1"/>
      <c r="NYS159" s="1"/>
      <c r="NYT159" s="1"/>
      <c r="NYU159" s="1"/>
      <c r="NYV159" s="14"/>
      <c r="NZG159" s="1"/>
      <c r="NZH159" s="1"/>
      <c r="NZI159" s="1"/>
      <c r="NZJ159" s="1"/>
      <c r="NZK159" s="1"/>
      <c r="NZL159" s="14"/>
      <c r="NZW159" s="1"/>
      <c r="NZX159" s="1"/>
      <c r="NZY159" s="1"/>
      <c r="NZZ159" s="1"/>
      <c r="OAA159" s="1"/>
      <c r="OAB159" s="14"/>
      <c r="OAM159" s="1"/>
      <c r="OAN159" s="1"/>
      <c r="OAO159" s="1"/>
      <c r="OAP159" s="1"/>
      <c r="OAQ159" s="1"/>
      <c r="OAR159" s="14"/>
      <c r="OBC159" s="1"/>
      <c r="OBD159" s="1"/>
      <c r="OBE159" s="1"/>
      <c r="OBF159" s="1"/>
      <c r="OBG159" s="1"/>
      <c r="OBH159" s="14"/>
      <c r="OBS159" s="1"/>
      <c r="OBT159" s="1"/>
      <c r="OBU159" s="1"/>
      <c r="OBV159" s="1"/>
      <c r="OBW159" s="1"/>
      <c r="OBX159" s="14"/>
      <c r="OCI159" s="1"/>
      <c r="OCJ159" s="1"/>
      <c r="OCK159" s="1"/>
      <c r="OCL159" s="1"/>
      <c r="OCM159" s="1"/>
      <c r="OCN159" s="14"/>
      <c r="OCY159" s="1"/>
      <c r="OCZ159" s="1"/>
      <c r="ODA159" s="1"/>
      <c r="ODB159" s="1"/>
      <c r="ODC159" s="1"/>
      <c r="ODD159" s="14"/>
      <c r="ODO159" s="1"/>
      <c r="ODP159" s="1"/>
      <c r="ODQ159" s="1"/>
      <c r="ODR159" s="1"/>
      <c r="ODS159" s="1"/>
      <c r="ODT159" s="14"/>
      <c r="OEE159" s="1"/>
      <c r="OEF159" s="1"/>
      <c r="OEG159" s="1"/>
      <c r="OEH159" s="1"/>
      <c r="OEI159" s="1"/>
      <c r="OEJ159" s="14"/>
      <c r="OEU159" s="1"/>
      <c r="OEV159" s="1"/>
      <c r="OEW159" s="1"/>
      <c r="OEX159" s="1"/>
      <c r="OEY159" s="1"/>
      <c r="OEZ159" s="14"/>
      <c r="OFK159" s="1"/>
      <c r="OFL159" s="1"/>
      <c r="OFM159" s="1"/>
      <c r="OFN159" s="1"/>
      <c r="OFO159" s="1"/>
      <c r="OFP159" s="14"/>
      <c r="OGA159" s="1"/>
      <c r="OGB159" s="1"/>
      <c r="OGC159" s="1"/>
      <c r="OGD159" s="1"/>
      <c r="OGE159" s="1"/>
      <c r="OGF159" s="14"/>
      <c r="OGQ159" s="1"/>
      <c r="OGR159" s="1"/>
      <c r="OGS159" s="1"/>
      <c r="OGT159" s="1"/>
      <c r="OGU159" s="1"/>
      <c r="OGV159" s="14"/>
      <c r="OHG159" s="1"/>
      <c r="OHH159" s="1"/>
      <c r="OHI159" s="1"/>
      <c r="OHJ159" s="1"/>
      <c r="OHK159" s="1"/>
      <c r="OHL159" s="14"/>
      <c r="OHW159" s="1"/>
      <c r="OHX159" s="1"/>
      <c r="OHY159" s="1"/>
      <c r="OHZ159" s="1"/>
      <c r="OIA159" s="1"/>
      <c r="OIB159" s="14"/>
      <c r="OIM159" s="1"/>
      <c r="OIN159" s="1"/>
      <c r="OIO159" s="1"/>
      <c r="OIP159" s="1"/>
      <c r="OIQ159" s="1"/>
      <c r="OIR159" s="14"/>
      <c r="OJC159" s="1"/>
      <c r="OJD159" s="1"/>
      <c r="OJE159" s="1"/>
      <c r="OJF159" s="1"/>
      <c r="OJG159" s="1"/>
      <c r="OJH159" s="14"/>
      <c r="OJS159" s="1"/>
      <c r="OJT159" s="1"/>
      <c r="OJU159" s="1"/>
      <c r="OJV159" s="1"/>
      <c r="OJW159" s="1"/>
      <c r="OJX159" s="14"/>
      <c r="OKI159" s="1"/>
      <c r="OKJ159" s="1"/>
      <c r="OKK159" s="1"/>
      <c r="OKL159" s="1"/>
      <c r="OKM159" s="1"/>
      <c r="OKN159" s="14"/>
      <c r="OKY159" s="1"/>
      <c r="OKZ159" s="1"/>
      <c r="OLA159" s="1"/>
      <c r="OLB159" s="1"/>
      <c r="OLC159" s="1"/>
      <c r="OLD159" s="14"/>
      <c r="OLO159" s="1"/>
      <c r="OLP159" s="1"/>
      <c r="OLQ159" s="1"/>
      <c r="OLR159" s="1"/>
      <c r="OLS159" s="1"/>
      <c r="OLT159" s="14"/>
      <c r="OME159" s="1"/>
      <c r="OMF159" s="1"/>
      <c r="OMG159" s="1"/>
      <c r="OMH159" s="1"/>
      <c r="OMI159" s="1"/>
      <c r="OMJ159" s="14"/>
      <c r="OMU159" s="1"/>
      <c r="OMV159" s="1"/>
      <c r="OMW159" s="1"/>
      <c r="OMX159" s="1"/>
      <c r="OMY159" s="1"/>
      <c r="OMZ159" s="14"/>
      <c r="ONK159" s="1"/>
      <c r="ONL159" s="1"/>
      <c r="ONM159" s="1"/>
      <c r="ONN159" s="1"/>
      <c r="ONO159" s="1"/>
      <c r="ONP159" s="14"/>
      <c r="OOA159" s="1"/>
      <c r="OOB159" s="1"/>
      <c r="OOC159" s="1"/>
      <c r="OOD159" s="1"/>
      <c r="OOE159" s="1"/>
      <c r="OOF159" s="14"/>
      <c r="OOQ159" s="1"/>
      <c r="OOR159" s="1"/>
      <c r="OOS159" s="1"/>
      <c r="OOT159" s="1"/>
      <c r="OOU159" s="1"/>
      <c r="OOV159" s="14"/>
      <c r="OPG159" s="1"/>
      <c r="OPH159" s="1"/>
      <c r="OPI159" s="1"/>
      <c r="OPJ159" s="1"/>
      <c r="OPK159" s="1"/>
      <c r="OPL159" s="14"/>
      <c r="OPW159" s="1"/>
      <c r="OPX159" s="1"/>
      <c r="OPY159" s="1"/>
      <c r="OPZ159" s="1"/>
      <c r="OQA159" s="1"/>
      <c r="OQB159" s="14"/>
      <c r="OQM159" s="1"/>
      <c r="OQN159" s="1"/>
      <c r="OQO159" s="1"/>
      <c r="OQP159" s="1"/>
      <c r="OQQ159" s="1"/>
      <c r="OQR159" s="14"/>
      <c r="ORC159" s="1"/>
      <c r="ORD159" s="1"/>
      <c r="ORE159" s="1"/>
      <c r="ORF159" s="1"/>
      <c r="ORG159" s="1"/>
      <c r="ORH159" s="14"/>
      <c r="ORS159" s="1"/>
      <c r="ORT159" s="1"/>
      <c r="ORU159" s="1"/>
      <c r="ORV159" s="1"/>
      <c r="ORW159" s="1"/>
      <c r="ORX159" s="14"/>
      <c r="OSI159" s="1"/>
      <c r="OSJ159" s="1"/>
      <c r="OSK159" s="1"/>
      <c r="OSL159" s="1"/>
      <c r="OSM159" s="1"/>
      <c r="OSN159" s="14"/>
      <c r="OSY159" s="1"/>
      <c r="OSZ159" s="1"/>
      <c r="OTA159" s="1"/>
      <c r="OTB159" s="1"/>
      <c r="OTC159" s="1"/>
      <c r="OTD159" s="14"/>
      <c r="OTO159" s="1"/>
      <c r="OTP159" s="1"/>
      <c r="OTQ159" s="1"/>
      <c r="OTR159" s="1"/>
      <c r="OTS159" s="1"/>
      <c r="OTT159" s="14"/>
      <c r="OUE159" s="1"/>
      <c r="OUF159" s="1"/>
      <c r="OUG159" s="1"/>
      <c r="OUH159" s="1"/>
      <c r="OUI159" s="1"/>
      <c r="OUJ159" s="14"/>
      <c r="OUU159" s="1"/>
      <c r="OUV159" s="1"/>
      <c r="OUW159" s="1"/>
      <c r="OUX159" s="1"/>
      <c r="OUY159" s="1"/>
      <c r="OUZ159" s="14"/>
      <c r="OVK159" s="1"/>
      <c r="OVL159" s="1"/>
      <c r="OVM159" s="1"/>
      <c r="OVN159" s="1"/>
      <c r="OVO159" s="1"/>
      <c r="OVP159" s="14"/>
      <c r="OWA159" s="1"/>
      <c r="OWB159" s="1"/>
      <c r="OWC159" s="1"/>
      <c r="OWD159" s="1"/>
      <c r="OWE159" s="1"/>
      <c r="OWF159" s="14"/>
      <c r="OWQ159" s="1"/>
      <c r="OWR159" s="1"/>
      <c r="OWS159" s="1"/>
      <c r="OWT159" s="1"/>
      <c r="OWU159" s="1"/>
      <c r="OWV159" s="14"/>
      <c r="OXG159" s="1"/>
      <c r="OXH159" s="1"/>
      <c r="OXI159" s="1"/>
      <c r="OXJ159" s="1"/>
      <c r="OXK159" s="1"/>
      <c r="OXL159" s="14"/>
      <c r="OXW159" s="1"/>
      <c r="OXX159" s="1"/>
      <c r="OXY159" s="1"/>
      <c r="OXZ159" s="1"/>
      <c r="OYA159" s="1"/>
      <c r="OYB159" s="14"/>
      <c r="OYM159" s="1"/>
      <c r="OYN159" s="1"/>
      <c r="OYO159" s="1"/>
      <c r="OYP159" s="1"/>
      <c r="OYQ159" s="1"/>
      <c r="OYR159" s="14"/>
      <c r="OZC159" s="1"/>
      <c r="OZD159" s="1"/>
      <c r="OZE159" s="1"/>
      <c r="OZF159" s="1"/>
      <c r="OZG159" s="1"/>
      <c r="OZH159" s="14"/>
      <c r="OZS159" s="1"/>
      <c r="OZT159" s="1"/>
      <c r="OZU159" s="1"/>
      <c r="OZV159" s="1"/>
      <c r="OZW159" s="1"/>
      <c r="OZX159" s="14"/>
      <c r="PAI159" s="1"/>
      <c r="PAJ159" s="1"/>
      <c r="PAK159" s="1"/>
      <c r="PAL159" s="1"/>
      <c r="PAM159" s="1"/>
      <c r="PAN159" s="14"/>
      <c r="PAY159" s="1"/>
      <c r="PAZ159" s="1"/>
      <c r="PBA159" s="1"/>
      <c r="PBB159" s="1"/>
      <c r="PBC159" s="1"/>
      <c r="PBD159" s="14"/>
      <c r="PBO159" s="1"/>
      <c r="PBP159" s="1"/>
      <c r="PBQ159" s="1"/>
      <c r="PBR159" s="1"/>
      <c r="PBS159" s="1"/>
      <c r="PBT159" s="14"/>
      <c r="PCE159" s="1"/>
      <c r="PCF159" s="1"/>
      <c r="PCG159" s="1"/>
      <c r="PCH159" s="1"/>
      <c r="PCI159" s="1"/>
      <c r="PCJ159" s="14"/>
      <c r="PCU159" s="1"/>
      <c r="PCV159" s="1"/>
      <c r="PCW159" s="1"/>
      <c r="PCX159" s="1"/>
      <c r="PCY159" s="1"/>
      <c r="PCZ159" s="14"/>
      <c r="PDK159" s="1"/>
      <c r="PDL159" s="1"/>
      <c r="PDM159" s="1"/>
      <c r="PDN159" s="1"/>
      <c r="PDO159" s="1"/>
      <c r="PDP159" s="14"/>
      <c r="PEA159" s="1"/>
      <c r="PEB159" s="1"/>
      <c r="PEC159" s="1"/>
      <c r="PED159" s="1"/>
      <c r="PEE159" s="1"/>
      <c r="PEF159" s="14"/>
      <c r="PEQ159" s="1"/>
      <c r="PER159" s="1"/>
      <c r="PES159" s="1"/>
      <c r="PET159" s="1"/>
      <c r="PEU159" s="1"/>
      <c r="PEV159" s="14"/>
      <c r="PFG159" s="1"/>
      <c r="PFH159" s="1"/>
      <c r="PFI159" s="1"/>
      <c r="PFJ159" s="1"/>
      <c r="PFK159" s="1"/>
      <c r="PFL159" s="14"/>
      <c r="PFW159" s="1"/>
      <c r="PFX159" s="1"/>
      <c r="PFY159" s="1"/>
      <c r="PFZ159" s="1"/>
      <c r="PGA159" s="1"/>
      <c r="PGB159" s="14"/>
      <c r="PGM159" s="1"/>
      <c r="PGN159" s="1"/>
      <c r="PGO159" s="1"/>
      <c r="PGP159" s="1"/>
      <c r="PGQ159" s="1"/>
      <c r="PGR159" s="14"/>
      <c r="PHC159" s="1"/>
      <c r="PHD159" s="1"/>
      <c r="PHE159" s="1"/>
      <c r="PHF159" s="1"/>
      <c r="PHG159" s="1"/>
      <c r="PHH159" s="14"/>
      <c r="PHS159" s="1"/>
      <c r="PHT159" s="1"/>
      <c r="PHU159" s="1"/>
      <c r="PHV159" s="1"/>
      <c r="PHW159" s="1"/>
      <c r="PHX159" s="14"/>
      <c r="PII159" s="1"/>
      <c r="PIJ159" s="1"/>
      <c r="PIK159" s="1"/>
      <c r="PIL159" s="1"/>
      <c r="PIM159" s="1"/>
      <c r="PIN159" s="14"/>
      <c r="PIY159" s="1"/>
      <c r="PIZ159" s="1"/>
      <c r="PJA159" s="1"/>
      <c r="PJB159" s="1"/>
      <c r="PJC159" s="1"/>
      <c r="PJD159" s="14"/>
      <c r="PJO159" s="1"/>
      <c r="PJP159" s="1"/>
      <c r="PJQ159" s="1"/>
      <c r="PJR159" s="1"/>
      <c r="PJS159" s="1"/>
      <c r="PJT159" s="14"/>
      <c r="PKE159" s="1"/>
      <c r="PKF159" s="1"/>
      <c r="PKG159" s="1"/>
      <c r="PKH159" s="1"/>
      <c r="PKI159" s="1"/>
      <c r="PKJ159" s="14"/>
      <c r="PKU159" s="1"/>
      <c r="PKV159" s="1"/>
      <c r="PKW159" s="1"/>
      <c r="PKX159" s="1"/>
      <c r="PKY159" s="1"/>
      <c r="PKZ159" s="14"/>
      <c r="PLK159" s="1"/>
      <c r="PLL159" s="1"/>
      <c r="PLM159" s="1"/>
      <c r="PLN159" s="1"/>
      <c r="PLO159" s="1"/>
      <c r="PLP159" s="14"/>
      <c r="PMA159" s="1"/>
      <c r="PMB159" s="1"/>
      <c r="PMC159" s="1"/>
      <c r="PMD159" s="1"/>
      <c r="PME159" s="1"/>
      <c r="PMF159" s="14"/>
      <c r="PMQ159" s="1"/>
      <c r="PMR159" s="1"/>
      <c r="PMS159" s="1"/>
      <c r="PMT159" s="1"/>
      <c r="PMU159" s="1"/>
      <c r="PMV159" s="14"/>
      <c r="PNG159" s="1"/>
      <c r="PNH159" s="1"/>
      <c r="PNI159" s="1"/>
      <c r="PNJ159" s="1"/>
      <c r="PNK159" s="1"/>
      <c r="PNL159" s="14"/>
      <c r="PNW159" s="1"/>
      <c r="PNX159" s="1"/>
      <c r="PNY159" s="1"/>
      <c r="PNZ159" s="1"/>
      <c r="POA159" s="1"/>
      <c r="POB159" s="14"/>
      <c r="POM159" s="1"/>
      <c r="PON159" s="1"/>
      <c r="POO159" s="1"/>
      <c r="POP159" s="1"/>
      <c r="POQ159" s="1"/>
      <c r="POR159" s="14"/>
      <c r="PPC159" s="1"/>
      <c r="PPD159" s="1"/>
      <c r="PPE159" s="1"/>
      <c r="PPF159" s="1"/>
      <c r="PPG159" s="1"/>
      <c r="PPH159" s="14"/>
      <c r="PPS159" s="1"/>
      <c r="PPT159" s="1"/>
      <c r="PPU159" s="1"/>
      <c r="PPV159" s="1"/>
      <c r="PPW159" s="1"/>
      <c r="PPX159" s="14"/>
      <c r="PQI159" s="1"/>
      <c r="PQJ159" s="1"/>
      <c r="PQK159" s="1"/>
      <c r="PQL159" s="1"/>
      <c r="PQM159" s="1"/>
      <c r="PQN159" s="14"/>
      <c r="PQY159" s="1"/>
      <c r="PQZ159" s="1"/>
      <c r="PRA159" s="1"/>
      <c r="PRB159" s="1"/>
      <c r="PRC159" s="1"/>
      <c r="PRD159" s="14"/>
      <c r="PRO159" s="1"/>
      <c r="PRP159" s="1"/>
      <c r="PRQ159" s="1"/>
      <c r="PRR159" s="1"/>
      <c r="PRS159" s="1"/>
      <c r="PRT159" s="14"/>
      <c r="PSE159" s="1"/>
      <c r="PSF159" s="1"/>
      <c r="PSG159" s="1"/>
      <c r="PSH159" s="1"/>
      <c r="PSI159" s="1"/>
      <c r="PSJ159" s="14"/>
      <c r="PSU159" s="1"/>
      <c r="PSV159" s="1"/>
      <c r="PSW159" s="1"/>
      <c r="PSX159" s="1"/>
      <c r="PSY159" s="1"/>
      <c r="PSZ159" s="14"/>
      <c r="PTK159" s="1"/>
      <c r="PTL159" s="1"/>
      <c r="PTM159" s="1"/>
      <c r="PTN159" s="1"/>
      <c r="PTO159" s="1"/>
      <c r="PTP159" s="14"/>
      <c r="PUA159" s="1"/>
      <c r="PUB159" s="1"/>
      <c r="PUC159" s="1"/>
      <c r="PUD159" s="1"/>
      <c r="PUE159" s="1"/>
      <c r="PUF159" s="14"/>
      <c r="PUQ159" s="1"/>
      <c r="PUR159" s="1"/>
      <c r="PUS159" s="1"/>
      <c r="PUT159" s="1"/>
      <c r="PUU159" s="1"/>
      <c r="PUV159" s="14"/>
      <c r="PVG159" s="1"/>
      <c r="PVH159" s="1"/>
      <c r="PVI159" s="1"/>
      <c r="PVJ159" s="1"/>
      <c r="PVK159" s="1"/>
      <c r="PVL159" s="14"/>
      <c r="PVW159" s="1"/>
      <c r="PVX159" s="1"/>
      <c r="PVY159" s="1"/>
      <c r="PVZ159" s="1"/>
      <c r="PWA159" s="1"/>
      <c r="PWB159" s="14"/>
      <c r="PWM159" s="1"/>
      <c r="PWN159" s="1"/>
      <c r="PWO159" s="1"/>
      <c r="PWP159" s="1"/>
      <c r="PWQ159" s="1"/>
      <c r="PWR159" s="14"/>
      <c r="PXC159" s="1"/>
      <c r="PXD159" s="1"/>
      <c r="PXE159" s="1"/>
      <c r="PXF159" s="1"/>
      <c r="PXG159" s="1"/>
      <c r="PXH159" s="14"/>
      <c r="PXS159" s="1"/>
      <c r="PXT159" s="1"/>
      <c r="PXU159" s="1"/>
      <c r="PXV159" s="1"/>
      <c r="PXW159" s="1"/>
      <c r="PXX159" s="14"/>
      <c r="PYI159" s="1"/>
      <c r="PYJ159" s="1"/>
      <c r="PYK159" s="1"/>
      <c r="PYL159" s="1"/>
      <c r="PYM159" s="1"/>
      <c r="PYN159" s="14"/>
      <c r="PYY159" s="1"/>
      <c r="PYZ159" s="1"/>
      <c r="PZA159" s="1"/>
      <c r="PZB159" s="1"/>
      <c r="PZC159" s="1"/>
      <c r="PZD159" s="14"/>
      <c r="PZO159" s="1"/>
      <c r="PZP159" s="1"/>
      <c r="PZQ159" s="1"/>
      <c r="PZR159" s="1"/>
      <c r="PZS159" s="1"/>
      <c r="PZT159" s="14"/>
      <c r="QAE159" s="1"/>
      <c r="QAF159" s="1"/>
      <c r="QAG159" s="1"/>
      <c r="QAH159" s="1"/>
      <c r="QAI159" s="1"/>
      <c r="QAJ159" s="14"/>
      <c r="QAU159" s="1"/>
      <c r="QAV159" s="1"/>
      <c r="QAW159" s="1"/>
      <c r="QAX159" s="1"/>
      <c r="QAY159" s="1"/>
      <c r="QAZ159" s="14"/>
      <c r="QBK159" s="1"/>
      <c r="QBL159" s="1"/>
      <c r="QBM159" s="1"/>
      <c r="QBN159" s="1"/>
      <c r="QBO159" s="1"/>
      <c r="QBP159" s="14"/>
      <c r="QCA159" s="1"/>
      <c r="QCB159" s="1"/>
      <c r="QCC159" s="1"/>
      <c r="QCD159" s="1"/>
      <c r="QCE159" s="1"/>
      <c r="QCF159" s="14"/>
      <c r="QCQ159" s="1"/>
      <c r="QCR159" s="1"/>
      <c r="QCS159" s="1"/>
      <c r="QCT159" s="1"/>
      <c r="QCU159" s="1"/>
      <c r="QCV159" s="14"/>
      <c r="QDG159" s="1"/>
      <c r="QDH159" s="1"/>
      <c r="QDI159" s="1"/>
      <c r="QDJ159" s="1"/>
      <c r="QDK159" s="1"/>
      <c r="QDL159" s="14"/>
      <c r="QDW159" s="1"/>
      <c r="QDX159" s="1"/>
      <c r="QDY159" s="1"/>
      <c r="QDZ159" s="1"/>
      <c r="QEA159" s="1"/>
      <c r="QEB159" s="14"/>
      <c r="QEM159" s="1"/>
      <c r="QEN159" s="1"/>
      <c r="QEO159" s="1"/>
      <c r="QEP159" s="1"/>
      <c r="QEQ159" s="1"/>
      <c r="QER159" s="14"/>
      <c r="QFC159" s="1"/>
      <c r="QFD159" s="1"/>
      <c r="QFE159" s="1"/>
      <c r="QFF159" s="1"/>
      <c r="QFG159" s="1"/>
      <c r="QFH159" s="14"/>
      <c r="QFS159" s="1"/>
      <c r="QFT159" s="1"/>
      <c r="QFU159" s="1"/>
      <c r="QFV159" s="1"/>
      <c r="QFW159" s="1"/>
      <c r="QFX159" s="14"/>
      <c r="QGI159" s="1"/>
      <c r="QGJ159" s="1"/>
      <c r="QGK159" s="1"/>
      <c r="QGL159" s="1"/>
      <c r="QGM159" s="1"/>
      <c r="QGN159" s="14"/>
      <c r="QGY159" s="1"/>
      <c r="QGZ159" s="1"/>
      <c r="QHA159" s="1"/>
      <c r="QHB159" s="1"/>
      <c r="QHC159" s="1"/>
      <c r="QHD159" s="14"/>
      <c r="QHO159" s="1"/>
      <c r="QHP159" s="1"/>
      <c r="QHQ159" s="1"/>
      <c r="QHR159" s="1"/>
      <c r="QHS159" s="1"/>
      <c r="QHT159" s="14"/>
      <c r="QIE159" s="1"/>
      <c r="QIF159" s="1"/>
      <c r="QIG159" s="1"/>
      <c r="QIH159" s="1"/>
      <c r="QII159" s="1"/>
      <c r="QIJ159" s="14"/>
      <c r="QIU159" s="1"/>
      <c r="QIV159" s="1"/>
      <c r="QIW159" s="1"/>
      <c r="QIX159" s="1"/>
      <c r="QIY159" s="1"/>
      <c r="QIZ159" s="14"/>
      <c r="QJK159" s="1"/>
      <c r="QJL159" s="1"/>
      <c r="QJM159" s="1"/>
      <c r="QJN159" s="1"/>
      <c r="QJO159" s="1"/>
      <c r="QJP159" s="14"/>
      <c r="QKA159" s="1"/>
      <c r="QKB159" s="1"/>
      <c r="QKC159" s="1"/>
      <c r="QKD159" s="1"/>
      <c r="QKE159" s="1"/>
      <c r="QKF159" s="14"/>
      <c r="QKQ159" s="1"/>
      <c r="QKR159" s="1"/>
      <c r="QKS159" s="1"/>
      <c r="QKT159" s="1"/>
      <c r="QKU159" s="1"/>
      <c r="QKV159" s="14"/>
      <c r="QLG159" s="1"/>
      <c r="QLH159" s="1"/>
      <c r="QLI159" s="1"/>
      <c r="QLJ159" s="1"/>
      <c r="QLK159" s="1"/>
      <c r="QLL159" s="14"/>
      <c r="QLW159" s="1"/>
      <c r="QLX159" s="1"/>
      <c r="QLY159" s="1"/>
      <c r="QLZ159" s="1"/>
      <c r="QMA159" s="1"/>
      <c r="QMB159" s="14"/>
      <c r="QMM159" s="1"/>
      <c r="QMN159" s="1"/>
      <c r="QMO159" s="1"/>
      <c r="QMP159" s="1"/>
      <c r="QMQ159" s="1"/>
      <c r="QMR159" s="14"/>
      <c r="QNC159" s="1"/>
      <c r="QND159" s="1"/>
      <c r="QNE159" s="1"/>
      <c r="QNF159" s="1"/>
      <c r="QNG159" s="1"/>
      <c r="QNH159" s="14"/>
      <c r="QNS159" s="1"/>
      <c r="QNT159" s="1"/>
      <c r="QNU159" s="1"/>
      <c r="QNV159" s="1"/>
      <c r="QNW159" s="1"/>
      <c r="QNX159" s="14"/>
      <c r="QOI159" s="1"/>
      <c r="QOJ159" s="1"/>
      <c r="QOK159" s="1"/>
      <c r="QOL159" s="1"/>
      <c r="QOM159" s="1"/>
      <c r="QON159" s="14"/>
      <c r="QOY159" s="1"/>
      <c r="QOZ159" s="1"/>
      <c r="QPA159" s="1"/>
      <c r="QPB159" s="1"/>
      <c r="QPC159" s="1"/>
      <c r="QPD159" s="14"/>
      <c r="QPO159" s="1"/>
      <c r="QPP159" s="1"/>
      <c r="QPQ159" s="1"/>
      <c r="QPR159" s="1"/>
      <c r="QPS159" s="1"/>
      <c r="QPT159" s="14"/>
      <c r="QQE159" s="1"/>
      <c r="QQF159" s="1"/>
      <c r="QQG159" s="1"/>
      <c r="QQH159" s="1"/>
      <c r="QQI159" s="1"/>
      <c r="QQJ159" s="14"/>
      <c r="QQU159" s="1"/>
      <c r="QQV159" s="1"/>
      <c r="QQW159" s="1"/>
      <c r="QQX159" s="1"/>
      <c r="QQY159" s="1"/>
      <c r="QQZ159" s="14"/>
      <c r="QRK159" s="1"/>
      <c r="QRL159" s="1"/>
      <c r="QRM159" s="1"/>
      <c r="QRN159" s="1"/>
      <c r="QRO159" s="1"/>
      <c r="QRP159" s="14"/>
      <c r="QSA159" s="1"/>
      <c r="QSB159" s="1"/>
      <c r="QSC159" s="1"/>
      <c r="QSD159" s="1"/>
      <c r="QSE159" s="1"/>
      <c r="QSF159" s="14"/>
      <c r="QSQ159" s="1"/>
      <c r="QSR159" s="1"/>
      <c r="QSS159" s="1"/>
      <c r="QST159" s="1"/>
      <c r="QSU159" s="1"/>
      <c r="QSV159" s="14"/>
      <c r="QTG159" s="1"/>
      <c r="QTH159" s="1"/>
      <c r="QTI159" s="1"/>
      <c r="QTJ159" s="1"/>
      <c r="QTK159" s="1"/>
      <c r="QTL159" s="14"/>
      <c r="QTW159" s="1"/>
      <c r="QTX159" s="1"/>
      <c r="QTY159" s="1"/>
      <c r="QTZ159" s="1"/>
      <c r="QUA159" s="1"/>
      <c r="QUB159" s="14"/>
      <c r="QUM159" s="1"/>
      <c r="QUN159" s="1"/>
      <c r="QUO159" s="1"/>
      <c r="QUP159" s="1"/>
      <c r="QUQ159" s="1"/>
      <c r="QUR159" s="14"/>
      <c r="QVC159" s="1"/>
      <c r="QVD159" s="1"/>
      <c r="QVE159" s="1"/>
      <c r="QVF159" s="1"/>
      <c r="QVG159" s="1"/>
      <c r="QVH159" s="14"/>
      <c r="QVS159" s="1"/>
      <c r="QVT159" s="1"/>
      <c r="QVU159" s="1"/>
      <c r="QVV159" s="1"/>
      <c r="QVW159" s="1"/>
      <c r="QVX159" s="14"/>
      <c r="QWI159" s="1"/>
      <c r="QWJ159" s="1"/>
      <c r="QWK159" s="1"/>
      <c r="QWL159" s="1"/>
      <c r="QWM159" s="1"/>
      <c r="QWN159" s="14"/>
      <c r="QWY159" s="1"/>
      <c r="QWZ159" s="1"/>
      <c r="QXA159" s="1"/>
      <c r="QXB159" s="1"/>
      <c r="QXC159" s="1"/>
      <c r="QXD159" s="14"/>
      <c r="QXO159" s="1"/>
      <c r="QXP159" s="1"/>
      <c r="QXQ159" s="1"/>
      <c r="QXR159" s="1"/>
      <c r="QXS159" s="1"/>
      <c r="QXT159" s="14"/>
      <c r="QYE159" s="1"/>
      <c r="QYF159" s="1"/>
      <c r="QYG159" s="1"/>
      <c r="QYH159" s="1"/>
      <c r="QYI159" s="1"/>
      <c r="QYJ159" s="14"/>
      <c r="QYU159" s="1"/>
      <c r="QYV159" s="1"/>
      <c r="QYW159" s="1"/>
      <c r="QYX159" s="1"/>
      <c r="QYY159" s="1"/>
      <c r="QYZ159" s="14"/>
      <c r="QZK159" s="1"/>
      <c r="QZL159" s="1"/>
      <c r="QZM159" s="1"/>
      <c r="QZN159" s="1"/>
      <c r="QZO159" s="1"/>
      <c r="QZP159" s="14"/>
      <c r="RAA159" s="1"/>
      <c r="RAB159" s="1"/>
      <c r="RAC159" s="1"/>
      <c r="RAD159" s="1"/>
      <c r="RAE159" s="1"/>
      <c r="RAF159" s="14"/>
      <c r="RAQ159" s="1"/>
      <c r="RAR159" s="1"/>
      <c r="RAS159" s="1"/>
      <c r="RAT159" s="1"/>
      <c r="RAU159" s="1"/>
      <c r="RAV159" s="14"/>
      <c r="RBG159" s="1"/>
      <c r="RBH159" s="1"/>
      <c r="RBI159" s="1"/>
      <c r="RBJ159" s="1"/>
      <c r="RBK159" s="1"/>
      <c r="RBL159" s="14"/>
      <c r="RBW159" s="1"/>
      <c r="RBX159" s="1"/>
      <c r="RBY159" s="1"/>
      <c r="RBZ159" s="1"/>
      <c r="RCA159" s="1"/>
      <c r="RCB159" s="14"/>
      <c r="RCM159" s="1"/>
      <c r="RCN159" s="1"/>
      <c r="RCO159" s="1"/>
      <c r="RCP159" s="1"/>
      <c r="RCQ159" s="1"/>
      <c r="RCR159" s="14"/>
      <c r="RDC159" s="1"/>
      <c r="RDD159" s="1"/>
      <c r="RDE159" s="1"/>
      <c r="RDF159" s="1"/>
      <c r="RDG159" s="1"/>
      <c r="RDH159" s="14"/>
      <c r="RDS159" s="1"/>
      <c r="RDT159" s="1"/>
      <c r="RDU159" s="1"/>
      <c r="RDV159" s="1"/>
      <c r="RDW159" s="1"/>
      <c r="RDX159" s="14"/>
      <c r="REI159" s="1"/>
      <c r="REJ159" s="1"/>
      <c r="REK159" s="1"/>
      <c r="REL159" s="1"/>
      <c r="REM159" s="1"/>
      <c r="REN159" s="14"/>
      <c r="REY159" s="1"/>
      <c r="REZ159" s="1"/>
      <c r="RFA159" s="1"/>
      <c r="RFB159" s="1"/>
      <c r="RFC159" s="1"/>
      <c r="RFD159" s="14"/>
      <c r="RFO159" s="1"/>
      <c r="RFP159" s="1"/>
      <c r="RFQ159" s="1"/>
      <c r="RFR159" s="1"/>
      <c r="RFS159" s="1"/>
      <c r="RFT159" s="14"/>
      <c r="RGE159" s="1"/>
      <c r="RGF159" s="1"/>
      <c r="RGG159" s="1"/>
      <c r="RGH159" s="1"/>
      <c r="RGI159" s="1"/>
      <c r="RGJ159" s="14"/>
      <c r="RGU159" s="1"/>
      <c r="RGV159" s="1"/>
      <c r="RGW159" s="1"/>
      <c r="RGX159" s="1"/>
      <c r="RGY159" s="1"/>
      <c r="RGZ159" s="14"/>
      <c r="RHK159" s="1"/>
      <c r="RHL159" s="1"/>
      <c r="RHM159" s="1"/>
      <c r="RHN159" s="1"/>
      <c r="RHO159" s="1"/>
      <c r="RHP159" s="14"/>
      <c r="RIA159" s="1"/>
      <c r="RIB159" s="1"/>
      <c r="RIC159" s="1"/>
      <c r="RID159" s="1"/>
      <c r="RIE159" s="1"/>
      <c r="RIF159" s="14"/>
      <c r="RIQ159" s="1"/>
      <c r="RIR159" s="1"/>
      <c r="RIS159" s="1"/>
      <c r="RIT159" s="1"/>
      <c r="RIU159" s="1"/>
      <c r="RIV159" s="14"/>
      <c r="RJG159" s="1"/>
      <c r="RJH159" s="1"/>
      <c r="RJI159" s="1"/>
      <c r="RJJ159" s="1"/>
      <c r="RJK159" s="1"/>
      <c r="RJL159" s="14"/>
      <c r="RJW159" s="1"/>
      <c r="RJX159" s="1"/>
      <c r="RJY159" s="1"/>
      <c r="RJZ159" s="1"/>
      <c r="RKA159" s="1"/>
      <c r="RKB159" s="14"/>
      <c r="RKM159" s="1"/>
      <c r="RKN159" s="1"/>
      <c r="RKO159" s="1"/>
      <c r="RKP159" s="1"/>
      <c r="RKQ159" s="1"/>
      <c r="RKR159" s="14"/>
      <c r="RLC159" s="1"/>
      <c r="RLD159" s="1"/>
      <c r="RLE159" s="1"/>
      <c r="RLF159" s="1"/>
      <c r="RLG159" s="1"/>
      <c r="RLH159" s="14"/>
      <c r="RLS159" s="1"/>
      <c r="RLT159" s="1"/>
      <c r="RLU159" s="1"/>
      <c r="RLV159" s="1"/>
      <c r="RLW159" s="1"/>
      <c r="RLX159" s="14"/>
      <c r="RMI159" s="1"/>
      <c r="RMJ159" s="1"/>
      <c r="RMK159" s="1"/>
      <c r="RML159" s="1"/>
      <c r="RMM159" s="1"/>
      <c r="RMN159" s="14"/>
      <c r="RMY159" s="1"/>
      <c r="RMZ159" s="1"/>
      <c r="RNA159" s="1"/>
      <c r="RNB159" s="1"/>
      <c r="RNC159" s="1"/>
      <c r="RND159" s="14"/>
      <c r="RNO159" s="1"/>
      <c r="RNP159" s="1"/>
      <c r="RNQ159" s="1"/>
      <c r="RNR159" s="1"/>
      <c r="RNS159" s="1"/>
      <c r="RNT159" s="14"/>
      <c r="ROE159" s="1"/>
      <c r="ROF159" s="1"/>
      <c r="ROG159" s="1"/>
      <c r="ROH159" s="1"/>
      <c r="ROI159" s="1"/>
      <c r="ROJ159" s="14"/>
      <c r="ROU159" s="1"/>
      <c r="ROV159" s="1"/>
      <c r="ROW159" s="1"/>
      <c r="ROX159" s="1"/>
      <c r="ROY159" s="1"/>
      <c r="ROZ159" s="14"/>
      <c r="RPK159" s="1"/>
      <c r="RPL159" s="1"/>
      <c r="RPM159" s="1"/>
      <c r="RPN159" s="1"/>
      <c r="RPO159" s="1"/>
      <c r="RPP159" s="14"/>
      <c r="RQA159" s="1"/>
      <c r="RQB159" s="1"/>
      <c r="RQC159" s="1"/>
      <c r="RQD159" s="1"/>
      <c r="RQE159" s="1"/>
      <c r="RQF159" s="14"/>
      <c r="RQQ159" s="1"/>
      <c r="RQR159" s="1"/>
      <c r="RQS159" s="1"/>
      <c r="RQT159" s="1"/>
      <c r="RQU159" s="1"/>
      <c r="RQV159" s="14"/>
      <c r="RRG159" s="1"/>
      <c r="RRH159" s="1"/>
      <c r="RRI159" s="1"/>
      <c r="RRJ159" s="1"/>
      <c r="RRK159" s="1"/>
      <c r="RRL159" s="14"/>
      <c r="RRW159" s="1"/>
      <c r="RRX159" s="1"/>
      <c r="RRY159" s="1"/>
      <c r="RRZ159" s="1"/>
      <c r="RSA159" s="1"/>
      <c r="RSB159" s="14"/>
      <c r="RSM159" s="1"/>
      <c r="RSN159" s="1"/>
      <c r="RSO159" s="1"/>
      <c r="RSP159" s="1"/>
      <c r="RSQ159" s="1"/>
      <c r="RSR159" s="14"/>
      <c r="RTC159" s="1"/>
      <c r="RTD159" s="1"/>
      <c r="RTE159" s="1"/>
      <c r="RTF159" s="1"/>
      <c r="RTG159" s="1"/>
      <c r="RTH159" s="14"/>
      <c r="RTS159" s="1"/>
      <c r="RTT159" s="1"/>
      <c r="RTU159" s="1"/>
      <c r="RTV159" s="1"/>
      <c r="RTW159" s="1"/>
      <c r="RTX159" s="14"/>
      <c r="RUI159" s="1"/>
      <c r="RUJ159" s="1"/>
      <c r="RUK159" s="1"/>
      <c r="RUL159" s="1"/>
      <c r="RUM159" s="1"/>
      <c r="RUN159" s="14"/>
      <c r="RUY159" s="1"/>
      <c r="RUZ159" s="1"/>
      <c r="RVA159" s="1"/>
      <c r="RVB159" s="1"/>
      <c r="RVC159" s="1"/>
      <c r="RVD159" s="14"/>
      <c r="RVO159" s="1"/>
      <c r="RVP159" s="1"/>
      <c r="RVQ159" s="1"/>
      <c r="RVR159" s="1"/>
      <c r="RVS159" s="1"/>
      <c r="RVT159" s="14"/>
      <c r="RWE159" s="1"/>
      <c r="RWF159" s="1"/>
      <c r="RWG159" s="1"/>
      <c r="RWH159" s="1"/>
      <c r="RWI159" s="1"/>
      <c r="RWJ159" s="14"/>
      <c r="RWU159" s="1"/>
      <c r="RWV159" s="1"/>
      <c r="RWW159" s="1"/>
      <c r="RWX159" s="1"/>
      <c r="RWY159" s="1"/>
      <c r="RWZ159" s="14"/>
      <c r="RXK159" s="1"/>
      <c r="RXL159" s="1"/>
      <c r="RXM159" s="1"/>
      <c r="RXN159" s="1"/>
      <c r="RXO159" s="1"/>
      <c r="RXP159" s="14"/>
      <c r="RYA159" s="1"/>
      <c r="RYB159" s="1"/>
      <c r="RYC159" s="1"/>
      <c r="RYD159" s="1"/>
      <c r="RYE159" s="1"/>
      <c r="RYF159" s="14"/>
      <c r="RYQ159" s="1"/>
      <c r="RYR159" s="1"/>
      <c r="RYS159" s="1"/>
      <c r="RYT159" s="1"/>
      <c r="RYU159" s="1"/>
      <c r="RYV159" s="14"/>
      <c r="RZG159" s="1"/>
      <c r="RZH159" s="1"/>
      <c r="RZI159" s="1"/>
      <c r="RZJ159" s="1"/>
      <c r="RZK159" s="1"/>
      <c r="RZL159" s="14"/>
      <c r="RZW159" s="1"/>
      <c r="RZX159" s="1"/>
      <c r="RZY159" s="1"/>
      <c r="RZZ159" s="1"/>
      <c r="SAA159" s="1"/>
      <c r="SAB159" s="14"/>
      <c r="SAM159" s="1"/>
      <c r="SAN159" s="1"/>
      <c r="SAO159" s="1"/>
      <c r="SAP159" s="1"/>
      <c r="SAQ159" s="1"/>
      <c r="SAR159" s="14"/>
      <c r="SBC159" s="1"/>
      <c r="SBD159" s="1"/>
      <c r="SBE159" s="1"/>
      <c r="SBF159" s="1"/>
      <c r="SBG159" s="1"/>
      <c r="SBH159" s="14"/>
      <c r="SBS159" s="1"/>
      <c r="SBT159" s="1"/>
      <c r="SBU159" s="1"/>
      <c r="SBV159" s="1"/>
      <c r="SBW159" s="1"/>
      <c r="SBX159" s="14"/>
      <c r="SCI159" s="1"/>
      <c r="SCJ159" s="1"/>
      <c r="SCK159" s="1"/>
      <c r="SCL159" s="1"/>
      <c r="SCM159" s="1"/>
      <c r="SCN159" s="14"/>
      <c r="SCY159" s="1"/>
      <c r="SCZ159" s="1"/>
      <c r="SDA159" s="1"/>
      <c r="SDB159" s="1"/>
      <c r="SDC159" s="1"/>
      <c r="SDD159" s="14"/>
      <c r="SDO159" s="1"/>
      <c r="SDP159" s="1"/>
      <c r="SDQ159" s="1"/>
      <c r="SDR159" s="1"/>
      <c r="SDS159" s="1"/>
      <c r="SDT159" s="14"/>
      <c r="SEE159" s="1"/>
      <c r="SEF159" s="1"/>
      <c r="SEG159" s="1"/>
      <c r="SEH159" s="1"/>
      <c r="SEI159" s="1"/>
      <c r="SEJ159" s="14"/>
      <c r="SEU159" s="1"/>
      <c r="SEV159" s="1"/>
      <c r="SEW159" s="1"/>
      <c r="SEX159" s="1"/>
      <c r="SEY159" s="1"/>
      <c r="SEZ159" s="14"/>
      <c r="SFK159" s="1"/>
      <c r="SFL159" s="1"/>
      <c r="SFM159" s="1"/>
      <c r="SFN159" s="1"/>
      <c r="SFO159" s="1"/>
      <c r="SFP159" s="14"/>
      <c r="SGA159" s="1"/>
      <c r="SGB159" s="1"/>
      <c r="SGC159" s="1"/>
      <c r="SGD159" s="1"/>
      <c r="SGE159" s="1"/>
      <c r="SGF159" s="14"/>
      <c r="SGQ159" s="1"/>
      <c r="SGR159" s="1"/>
      <c r="SGS159" s="1"/>
      <c r="SGT159" s="1"/>
      <c r="SGU159" s="1"/>
      <c r="SGV159" s="14"/>
      <c r="SHG159" s="1"/>
      <c r="SHH159" s="1"/>
      <c r="SHI159" s="1"/>
      <c r="SHJ159" s="1"/>
      <c r="SHK159" s="1"/>
      <c r="SHL159" s="14"/>
      <c r="SHW159" s="1"/>
      <c r="SHX159" s="1"/>
      <c r="SHY159" s="1"/>
      <c r="SHZ159" s="1"/>
      <c r="SIA159" s="1"/>
      <c r="SIB159" s="14"/>
      <c r="SIM159" s="1"/>
      <c r="SIN159" s="1"/>
      <c r="SIO159" s="1"/>
      <c r="SIP159" s="1"/>
      <c r="SIQ159" s="1"/>
      <c r="SIR159" s="14"/>
      <c r="SJC159" s="1"/>
      <c r="SJD159" s="1"/>
      <c r="SJE159" s="1"/>
      <c r="SJF159" s="1"/>
      <c r="SJG159" s="1"/>
      <c r="SJH159" s="14"/>
      <c r="SJS159" s="1"/>
      <c r="SJT159" s="1"/>
      <c r="SJU159" s="1"/>
      <c r="SJV159" s="1"/>
      <c r="SJW159" s="1"/>
      <c r="SJX159" s="14"/>
      <c r="SKI159" s="1"/>
      <c r="SKJ159" s="1"/>
      <c r="SKK159" s="1"/>
      <c r="SKL159" s="1"/>
      <c r="SKM159" s="1"/>
      <c r="SKN159" s="14"/>
      <c r="SKY159" s="1"/>
      <c r="SKZ159" s="1"/>
      <c r="SLA159" s="1"/>
      <c r="SLB159" s="1"/>
      <c r="SLC159" s="1"/>
      <c r="SLD159" s="14"/>
      <c r="SLO159" s="1"/>
      <c r="SLP159" s="1"/>
      <c r="SLQ159" s="1"/>
      <c r="SLR159" s="1"/>
      <c r="SLS159" s="1"/>
      <c r="SLT159" s="14"/>
      <c r="SME159" s="1"/>
      <c r="SMF159" s="1"/>
      <c r="SMG159" s="1"/>
      <c r="SMH159" s="1"/>
      <c r="SMI159" s="1"/>
      <c r="SMJ159" s="14"/>
      <c r="SMU159" s="1"/>
      <c r="SMV159" s="1"/>
      <c r="SMW159" s="1"/>
      <c r="SMX159" s="1"/>
      <c r="SMY159" s="1"/>
      <c r="SMZ159" s="14"/>
      <c r="SNK159" s="1"/>
      <c r="SNL159" s="1"/>
      <c r="SNM159" s="1"/>
      <c r="SNN159" s="1"/>
      <c r="SNO159" s="1"/>
      <c r="SNP159" s="14"/>
      <c r="SOA159" s="1"/>
      <c r="SOB159" s="1"/>
      <c r="SOC159" s="1"/>
      <c r="SOD159" s="1"/>
      <c r="SOE159" s="1"/>
      <c r="SOF159" s="14"/>
      <c r="SOQ159" s="1"/>
      <c r="SOR159" s="1"/>
      <c r="SOS159" s="1"/>
      <c r="SOT159" s="1"/>
      <c r="SOU159" s="1"/>
      <c r="SOV159" s="14"/>
      <c r="SPG159" s="1"/>
      <c r="SPH159" s="1"/>
      <c r="SPI159" s="1"/>
      <c r="SPJ159" s="1"/>
      <c r="SPK159" s="1"/>
      <c r="SPL159" s="14"/>
      <c r="SPW159" s="1"/>
      <c r="SPX159" s="1"/>
      <c r="SPY159" s="1"/>
      <c r="SPZ159" s="1"/>
      <c r="SQA159" s="1"/>
      <c r="SQB159" s="14"/>
      <c r="SQM159" s="1"/>
      <c r="SQN159" s="1"/>
      <c r="SQO159" s="1"/>
      <c r="SQP159" s="1"/>
      <c r="SQQ159" s="1"/>
      <c r="SQR159" s="14"/>
      <c r="SRC159" s="1"/>
      <c r="SRD159" s="1"/>
      <c r="SRE159" s="1"/>
      <c r="SRF159" s="1"/>
      <c r="SRG159" s="1"/>
      <c r="SRH159" s="14"/>
      <c r="SRS159" s="1"/>
      <c r="SRT159" s="1"/>
      <c r="SRU159" s="1"/>
      <c r="SRV159" s="1"/>
      <c r="SRW159" s="1"/>
      <c r="SRX159" s="14"/>
      <c r="SSI159" s="1"/>
      <c r="SSJ159" s="1"/>
      <c r="SSK159" s="1"/>
      <c r="SSL159" s="1"/>
      <c r="SSM159" s="1"/>
      <c r="SSN159" s="14"/>
      <c r="SSY159" s="1"/>
      <c r="SSZ159" s="1"/>
      <c r="STA159" s="1"/>
      <c r="STB159" s="1"/>
      <c r="STC159" s="1"/>
      <c r="STD159" s="14"/>
      <c r="STO159" s="1"/>
      <c r="STP159" s="1"/>
      <c r="STQ159" s="1"/>
      <c r="STR159" s="1"/>
      <c r="STS159" s="1"/>
      <c r="STT159" s="14"/>
      <c r="SUE159" s="1"/>
      <c r="SUF159" s="1"/>
      <c r="SUG159" s="1"/>
      <c r="SUH159" s="1"/>
      <c r="SUI159" s="1"/>
      <c r="SUJ159" s="14"/>
      <c r="SUU159" s="1"/>
      <c r="SUV159" s="1"/>
      <c r="SUW159" s="1"/>
      <c r="SUX159" s="1"/>
      <c r="SUY159" s="1"/>
      <c r="SUZ159" s="14"/>
      <c r="SVK159" s="1"/>
      <c r="SVL159" s="1"/>
      <c r="SVM159" s="1"/>
      <c r="SVN159" s="1"/>
      <c r="SVO159" s="1"/>
      <c r="SVP159" s="14"/>
      <c r="SWA159" s="1"/>
      <c r="SWB159" s="1"/>
      <c r="SWC159" s="1"/>
      <c r="SWD159" s="1"/>
      <c r="SWE159" s="1"/>
      <c r="SWF159" s="14"/>
      <c r="SWQ159" s="1"/>
      <c r="SWR159" s="1"/>
      <c r="SWS159" s="1"/>
      <c r="SWT159" s="1"/>
      <c r="SWU159" s="1"/>
      <c r="SWV159" s="14"/>
      <c r="SXG159" s="1"/>
      <c r="SXH159" s="1"/>
      <c r="SXI159" s="1"/>
      <c r="SXJ159" s="1"/>
      <c r="SXK159" s="1"/>
      <c r="SXL159" s="14"/>
      <c r="SXW159" s="1"/>
      <c r="SXX159" s="1"/>
      <c r="SXY159" s="1"/>
      <c r="SXZ159" s="1"/>
      <c r="SYA159" s="1"/>
      <c r="SYB159" s="14"/>
      <c r="SYM159" s="1"/>
      <c r="SYN159" s="1"/>
      <c r="SYO159" s="1"/>
      <c r="SYP159" s="1"/>
      <c r="SYQ159" s="1"/>
      <c r="SYR159" s="14"/>
      <c r="SZC159" s="1"/>
      <c r="SZD159" s="1"/>
      <c r="SZE159" s="1"/>
      <c r="SZF159" s="1"/>
      <c r="SZG159" s="1"/>
      <c r="SZH159" s="14"/>
      <c r="SZS159" s="1"/>
      <c r="SZT159" s="1"/>
      <c r="SZU159" s="1"/>
      <c r="SZV159" s="1"/>
      <c r="SZW159" s="1"/>
      <c r="SZX159" s="14"/>
      <c r="TAI159" s="1"/>
      <c r="TAJ159" s="1"/>
      <c r="TAK159" s="1"/>
      <c r="TAL159" s="1"/>
      <c r="TAM159" s="1"/>
      <c r="TAN159" s="14"/>
      <c r="TAY159" s="1"/>
      <c r="TAZ159" s="1"/>
      <c r="TBA159" s="1"/>
      <c r="TBB159" s="1"/>
      <c r="TBC159" s="1"/>
      <c r="TBD159" s="14"/>
      <c r="TBO159" s="1"/>
      <c r="TBP159" s="1"/>
      <c r="TBQ159" s="1"/>
      <c r="TBR159" s="1"/>
      <c r="TBS159" s="1"/>
      <c r="TBT159" s="14"/>
      <c r="TCE159" s="1"/>
      <c r="TCF159" s="1"/>
      <c r="TCG159" s="1"/>
      <c r="TCH159" s="1"/>
      <c r="TCI159" s="1"/>
      <c r="TCJ159" s="14"/>
      <c r="TCU159" s="1"/>
      <c r="TCV159" s="1"/>
      <c r="TCW159" s="1"/>
      <c r="TCX159" s="1"/>
      <c r="TCY159" s="1"/>
      <c r="TCZ159" s="14"/>
      <c r="TDK159" s="1"/>
      <c r="TDL159" s="1"/>
      <c r="TDM159" s="1"/>
      <c r="TDN159" s="1"/>
      <c r="TDO159" s="1"/>
      <c r="TDP159" s="14"/>
      <c r="TEA159" s="1"/>
      <c r="TEB159" s="1"/>
      <c r="TEC159" s="1"/>
      <c r="TED159" s="1"/>
      <c r="TEE159" s="1"/>
      <c r="TEF159" s="14"/>
      <c r="TEQ159" s="1"/>
      <c r="TER159" s="1"/>
      <c r="TES159" s="1"/>
      <c r="TET159" s="1"/>
      <c r="TEU159" s="1"/>
      <c r="TEV159" s="14"/>
      <c r="TFG159" s="1"/>
      <c r="TFH159" s="1"/>
      <c r="TFI159" s="1"/>
      <c r="TFJ159" s="1"/>
      <c r="TFK159" s="1"/>
      <c r="TFL159" s="14"/>
      <c r="TFW159" s="1"/>
      <c r="TFX159" s="1"/>
      <c r="TFY159" s="1"/>
      <c r="TFZ159" s="1"/>
      <c r="TGA159" s="1"/>
      <c r="TGB159" s="14"/>
      <c r="TGM159" s="1"/>
      <c r="TGN159" s="1"/>
      <c r="TGO159" s="1"/>
      <c r="TGP159" s="1"/>
      <c r="TGQ159" s="1"/>
      <c r="TGR159" s="14"/>
      <c r="THC159" s="1"/>
      <c r="THD159" s="1"/>
      <c r="THE159" s="1"/>
      <c r="THF159" s="1"/>
      <c r="THG159" s="1"/>
      <c r="THH159" s="14"/>
      <c r="THS159" s="1"/>
      <c r="THT159" s="1"/>
      <c r="THU159" s="1"/>
      <c r="THV159" s="1"/>
      <c r="THW159" s="1"/>
      <c r="THX159" s="14"/>
      <c r="TII159" s="1"/>
      <c r="TIJ159" s="1"/>
      <c r="TIK159" s="1"/>
      <c r="TIL159" s="1"/>
      <c r="TIM159" s="1"/>
      <c r="TIN159" s="14"/>
      <c r="TIY159" s="1"/>
      <c r="TIZ159" s="1"/>
      <c r="TJA159" s="1"/>
      <c r="TJB159" s="1"/>
      <c r="TJC159" s="1"/>
      <c r="TJD159" s="14"/>
      <c r="TJO159" s="1"/>
      <c r="TJP159" s="1"/>
      <c r="TJQ159" s="1"/>
      <c r="TJR159" s="1"/>
      <c r="TJS159" s="1"/>
      <c r="TJT159" s="14"/>
      <c r="TKE159" s="1"/>
      <c r="TKF159" s="1"/>
      <c r="TKG159" s="1"/>
      <c r="TKH159" s="1"/>
      <c r="TKI159" s="1"/>
      <c r="TKJ159" s="14"/>
      <c r="TKU159" s="1"/>
      <c r="TKV159" s="1"/>
      <c r="TKW159" s="1"/>
      <c r="TKX159" s="1"/>
      <c r="TKY159" s="1"/>
      <c r="TKZ159" s="14"/>
      <c r="TLK159" s="1"/>
      <c r="TLL159" s="1"/>
      <c r="TLM159" s="1"/>
      <c r="TLN159" s="1"/>
      <c r="TLO159" s="1"/>
      <c r="TLP159" s="14"/>
      <c r="TMA159" s="1"/>
      <c r="TMB159" s="1"/>
      <c r="TMC159" s="1"/>
      <c r="TMD159" s="1"/>
      <c r="TME159" s="1"/>
      <c r="TMF159" s="14"/>
      <c r="TMQ159" s="1"/>
      <c r="TMR159" s="1"/>
      <c r="TMS159" s="1"/>
      <c r="TMT159" s="1"/>
      <c r="TMU159" s="1"/>
      <c r="TMV159" s="14"/>
      <c r="TNG159" s="1"/>
      <c r="TNH159" s="1"/>
      <c r="TNI159" s="1"/>
      <c r="TNJ159" s="1"/>
      <c r="TNK159" s="1"/>
      <c r="TNL159" s="14"/>
      <c r="TNW159" s="1"/>
      <c r="TNX159" s="1"/>
      <c r="TNY159" s="1"/>
      <c r="TNZ159" s="1"/>
      <c r="TOA159" s="1"/>
      <c r="TOB159" s="14"/>
      <c r="TOM159" s="1"/>
      <c r="TON159" s="1"/>
      <c r="TOO159" s="1"/>
      <c r="TOP159" s="1"/>
      <c r="TOQ159" s="1"/>
      <c r="TOR159" s="14"/>
      <c r="TPC159" s="1"/>
      <c r="TPD159" s="1"/>
      <c r="TPE159" s="1"/>
      <c r="TPF159" s="1"/>
      <c r="TPG159" s="1"/>
      <c r="TPH159" s="14"/>
      <c r="TPS159" s="1"/>
      <c r="TPT159" s="1"/>
      <c r="TPU159" s="1"/>
      <c r="TPV159" s="1"/>
      <c r="TPW159" s="1"/>
      <c r="TPX159" s="14"/>
      <c r="TQI159" s="1"/>
      <c r="TQJ159" s="1"/>
      <c r="TQK159" s="1"/>
      <c r="TQL159" s="1"/>
      <c r="TQM159" s="1"/>
      <c r="TQN159" s="14"/>
      <c r="TQY159" s="1"/>
      <c r="TQZ159" s="1"/>
      <c r="TRA159" s="1"/>
      <c r="TRB159" s="1"/>
      <c r="TRC159" s="1"/>
      <c r="TRD159" s="14"/>
      <c r="TRO159" s="1"/>
      <c r="TRP159" s="1"/>
      <c r="TRQ159" s="1"/>
      <c r="TRR159" s="1"/>
      <c r="TRS159" s="1"/>
      <c r="TRT159" s="14"/>
      <c r="TSE159" s="1"/>
      <c r="TSF159" s="1"/>
      <c r="TSG159" s="1"/>
      <c r="TSH159" s="1"/>
      <c r="TSI159" s="1"/>
      <c r="TSJ159" s="14"/>
      <c r="TSU159" s="1"/>
      <c r="TSV159" s="1"/>
      <c r="TSW159" s="1"/>
      <c r="TSX159" s="1"/>
      <c r="TSY159" s="1"/>
      <c r="TSZ159" s="14"/>
      <c r="TTK159" s="1"/>
      <c r="TTL159" s="1"/>
      <c r="TTM159" s="1"/>
      <c r="TTN159" s="1"/>
      <c r="TTO159" s="1"/>
      <c r="TTP159" s="14"/>
      <c r="TUA159" s="1"/>
      <c r="TUB159" s="1"/>
      <c r="TUC159" s="1"/>
      <c r="TUD159" s="1"/>
      <c r="TUE159" s="1"/>
      <c r="TUF159" s="14"/>
      <c r="TUQ159" s="1"/>
      <c r="TUR159" s="1"/>
      <c r="TUS159" s="1"/>
      <c r="TUT159" s="1"/>
      <c r="TUU159" s="1"/>
      <c r="TUV159" s="14"/>
      <c r="TVG159" s="1"/>
      <c r="TVH159" s="1"/>
      <c r="TVI159" s="1"/>
      <c r="TVJ159" s="1"/>
      <c r="TVK159" s="1"/>
      <c r="TVL159" s="14"/>
      <c r="TVW159" s="1"/>
      <c r="TVX159" s="1"/>
      <c r="TVY159" s="1"/>
      <c r="TVZ159" s="1"/>
      <c r="TWA159" s="1"/>
      <c r="TWB159" s="14"/>
      <c r="TWM159" s="1"/>
      <c r="TWN159" s="1"/>
      <c r="TWO159" s="1"/>
      <c r="TWP159" s="1"/>
      <c r="TWQ159" s="1"/>
      <c r="TWR159" s="14"/>
      <c r="TXC159" s="1"/>
      <c r="TXD159" s="1"/>
      <c r="TXE159" s="1"/>
      <c r="TXF159" s="1"/>
      <c r="TXG159" s="1"/>
      <c r="TXH159" s="14"/>
      <c r="TXS159" s="1"/>
      <c r="TXT159" s="1"/>
      <c r="TXU159" s="1"/>
      <c r="TXV159" s="1"/>
      <c r="TXW159" s="1"/>
      <c r="TXX159" s="14"/>
      <c r="TYI159" s="1"/>
      <c r="TYJ159" s="1"/>
      <c r="TYK159" s="1"/>
      <c r="TYL159" s="1"/>
      <c r="TYM159" s="1"/>
      <c r="TYN159" s="14"/>
      <c r="TYY159" s="1"/>
      <c r="TYZ159" s="1"/>
      <c r="TZA159" s="1"/>
      <c r="TZB159" s="1"/>
      <c r="TZC159" s="1"/>
      <c r="TZD159" s="14"/>
      <c r="TZO159" s="1"/>
      <c r="TZP159" s="1"/>
      <c r="TZQ159" s="1"/>
      <c r="TZR159" s="1"/>
      <c r="TZS159" s="1"/>
      <c r="TZT159" s="14"/>
      <c r="UAE159" s="1"/>
      <c r="UAF159" s="1"/>
      <c r="UAG159" s="1"/>
      <c r="UAH159" s="1"/>
      <c r="UAI159" s="1"/>
      <c r="UAJ159" s="14"/>
      <c r="UAU159" s="1"/>
      <c r="UAV159" s="1"/>
      <c r="UAW159" s="1"/>
      <c r="UAX159" s="1"/>
      <c r="UAY159" s="1"/>
      <c r="UAZ159" s="14"/>
      <c r="UBK159" s="1"/>
      <c r="UBL159" s="1"/>
      <c r="UBM159" s="1"/>
      <c r="UBN159" s="1"/>
      <c r="UBO159" s="1"/>
      <c r="UBP159" s="14"/>
      <c r="UCA159" s="1"/>
      <c r="UCB159" s="1"/>
      <c r="UCC159" s="1"/>
      <c r="UCD159" s="1"/>
      <c r="UCE159" s="1"/>
      <c r="UCF159" s="14"/>
      <c r="UCQ159" s="1"/>
      <c r="UCR159" s="1"/>
      <c r="UCS159" s="1"/>
      <c r="UCT159" s="1"/>
      <c r="UCU159" s="1"/>
      <c r="UCV159" s="14"/>
      <c r="UDG159" s="1"/>
      <c r="UDH159" s="1"/>
      <c r="UDI159" s="1"/>
      <c r="UDJ159" s="1"/>
      <c r="UDK159" s="1"/>
      <c r="UDL159" s="14"/>
      <c r="UDW159" s="1"/>
      <c r="UDX159" s="1"/>
      <c r="UDY159" s="1"/>
      <c r="UDZ159" s="1"/>
      <c r="UEA159" s="1"/>
      <c r="UEB159" s="14"/>
      <c r="UEM159" s="1"/>
      <c r="UEN159" s="1"/>
      <c r="UEO159" s="1"/>
      <c r="UEP159" s="1"/>
      <c r="UEQ159" s="1"/>
      <c r="UER159" s="14"/>
      <c r="UFC159" s="1"/>
      <c r="UFD159" s="1"/>
      <c r="UFE159" s="1"/>
      <c r="UFF159" s="1"/>
      <c r="UFG159" s="1"/>
      <c r="UFH159" s="14"/>
      <c r="UFS159" s="1"/>
      <c r="UFT159" s="1"/>
      <c r="UFU159" s="1"/>
      <c r="UFV159" s="1"/>
      <c r="UFW159" s="1"/>
      <c r="UFX159" s="14"/>
      <c r="UGI159" s="1"/>
      <c r="UGJ159" s="1"/>
      <c r="UGK159" s="1"/>
      <c r="UGL159" s="1"/>
      <c r="UGM159" s="1"/>
      <c r="UGN159" s="14"/>
      <c r="UGY159" s="1"/>
      <c r="UGZ159" s="1"/>
      <c r="UHA159" s="1"/>
      <c r="UHB159" s="1"/>
      <c r="UHC159" s="1"/>
      <c r="UHD159" s="14"/>
      <c r="UHO159" s="1"/>
      <c r="UHP159" s="1"/>
      <c r="UHQ159" s="1"/>
      <c r="UHR159" s="1"/>
      <c r="UHS159" s="1"/>
      <c r="UHT159" s="14"/>
      <c r="UIE159" s="1"/>
      <c r="UIF159" s="1"/>
      <c r="UIG159" s="1"/>
      <c r="UIH159" s="1"/>
      <c r="UII159" s="1"/>
      <c r="UIJ159" s="14"/>
      <c r="UIU159" s="1"/>
      <c r="UIV159" s="1"/>
      <c r="UIW159" s="1"/>
      <c r="UIX159" s="1"/>
      <c r="UIY159" s="1"/>
      <c r="UIZ159" s="14"/>
      <c r="UJK159" s="1"/>
      <c r="UJL159" s="1"/>
      <c r="UJM159" s="1"/>
      <c r="UJN159" s="1"/>
      <c r="UJO159" s="1"/>
      <c r="UJP159" s="14"/>
      <c r="UKA159" s="1"/>
      <c r="UKB159" s="1"/>
      <c r="UKC159" s="1"/>
      <c r="UKD159" s="1"/>
      <c r="UKE159" s="1"/>
      <c r="UKF159" s="14"/>
      <c r="UKQ159" s="1"/>
      <c r="UKR159" s="1"/>
      <c r="UKS159" s="1"/>
      <c r="UKT159" s="1"/>
      <c r="UKU159" s="1"/>
      <c r="UKV159" s="14"/>
      <c r="ULG159" s="1"/>
      <c r="ULH159" s="1"/>
      <c r="ULI159" s="1"/>
      <c r="ULJ159" s="1"/>
      <c r="ULK159" s="1"/>
      <c r="ULL159" s="14"/>
      <c r="ULW159" s="1"/>
      <c r="ULX159" s="1"/>
      <c r="ULY159" s="1"/>
      <c r="ULZ159" s="1"/>
      <c r="UMA159" s="1"/>
      <c r="UMB159" s="14"/>
      <c r="UMM159" s="1"/>
      <c r="UMN159" s="1"/>
      <c r="UMO159" s="1"/>
      <c r="UMP159" s="1"/>
      <c r="UMQ159" s="1"/>
      <c r="UMR159" s="14"/>
      <c r="UNC159" s="1"/>
      <c r="UND159" s="1"/>
      <c r="UNE159" s="1"/>
      <c r="UNF159" s="1"/>
      <c r="UNG159" s="1"/>
      <c r="UNH159" s="14"/>
      <c r="UNS159" s="1"/>
      <c r="UNT159" s="1"/>
      <c r="UNU159" s="1"/>
      <c r="UNV159" s="1"/>
      <c r="UNW159" s="1"/>
      <c r="UNX159" s="14"/>
      <c r="UOI159" s="1"/>
      <c r="UOJ159" s="1"/>
      <c r="UOK159" s="1"/>
      <c r="UOL159" s="1"/>
      <c r="UOM159" s="1"/>
      <c r="UON159" s="14"/>
      <c r="UOY159" s="1"/>
      <c r="UOZ159" s="1"/>
      <c r="UPA159" s="1"/>
      <c r="UPB159" s="1"/>
      <c r="UPC159" s="1"/>
      <c r="UPD159" s="14"/>
      <c r="UPO159" s="1"/>
      <c r="UPP159" s="1"/>
      <c r="UPQ159" s="1"/>
      <c r="UPR159" s="1"/>
      <c r="UPS159" s="1"/>
      <c r="UPT159" s="14"/>
      <c r="UQE159" s="1"/>
      <c r="UQF159" s="1"/>
      <c r="UQG159" s="1"/>
      <c r="UQH159" s="1"/>
      <c r="UQI159" s="1"/>
      <c r="UQJ159" s="14"/>
      <c r="UQU159" s="1"/>
      <c r="UQV159" s="1"/>
      <c r="UQW159" s="1"/>
      <c r="UQX159" s="1"/>
      <c r="UQY159" s="1"/>
      <c r="UQZ159" s="14"/>
      <c r="URK159" s="1"/>
      <c r="URL159" s="1"/>
      <c r="URM159" s="1"/>
      <c r="URN159" s="1"/>
      <c r="URO159" s="1"/>
      <c r="URP159" s="14"/>
      <c r="USA159" s="1"/>
      <c r="USB159" s="1"/>
      <c r="USC159" s="1"/>
      <c r="USD159" s="1"/>
      <c r="USE159" s="1"/>
      <c r="USF159" s="14"/>
      <c r="USQ159" s="1"/>
      <c r="USR159" s="1"/>
      <c r="USS159" s="1"/>
      <c r="UST159" s="1"/>
      <c r="USU159" s="1"/>
      <c r="USV159" s="14"/>
      <c r="UTG159" s="1"/>
      <c r="UTH159" s="1"/>
      <c r="UTI159" s="1"/>
      <c r="UTJ159" s="1"/>
      <c r="UTK159" s="1"/>
      <c r="UTL159" s="14"/>
      <c r="UTW159" s="1"/>
      <c r="UTX159" s="1"/>
      <c r="UTY159" s="1"/>
      <c r="UTZ159" s="1"/>
      <c r="UUA159" s="1"/>
      <c r="UUB159" s="14"/>
      <c r="UUM159" s="1"/>
      <c r="UUN159" s="1"/>
      <c r="UUO159" s="1"/>
      <c r="UUP159" s="1"/>
      <c r="UUQ159" s="1"/>
      <c r="UUR159" s="14"/>
      <c r="UVC159" s="1"/>
      <c r="UVD159" s="1"/>
      <c r="UVE159" s="1"/>
      <c r="UVF159" s="1"/>
      <c r="UVG159" s="1"/>
      <c r="UVH159" s="14"/>
      <c r="UVS159" s="1"/>
      <c r="UVT159" s="1"/>
      <c r="UVU159" s="1"/>
      <c r="UVV159" s="1"/>
      <c r="UVW159" s="1"/>
      <c r="UVX159" s="14"/>
      <c r="UWI159" s="1"/>
      <c r="UWJ159" s="1"/>
      <c r="UWK159" s="1"/>
      <c r="UWL159" s="1"/>
      <c r="UWM159" s="1"/>
      <c r="UWN159" s="14"/>
      <c r="UWY159" s="1"/>
      <c r="UWZ159" s="1"/>
      <c r="UXA159" s="1"/>
      <c r="UXB159" s="1"/>
      <c r="UXC159" s="1"/>
      <c r="UXD159" s="14"/>
      <c r="UXO159" s="1"/>
      <c r="UXP159" s="1"/>
      <c r="UXQ159" s="1"/>
      <c r="UXR159" s="1"/>
      <c r="UXS159" s="1"/>
      <c r="UXT159" s="14"/>
      <c r="UYE159" s="1"/>
      <c r="UYF159" s="1"/>
      <c r="UYG159" s="1"/>
      <c r="UYH159" s="1"/>
      <c r="UYI159" s="1"/>
      <c r="UYJ159" s="14"/>
      <c r="UYU159" s="1"/>
      <c r="UYV159" s="1"/>
      <c r="UYW159" s="1"/>
      <c r="UYX159" s="1"/>
      <c r="UYY159" s="1"/>
      <c r="UYZ159" s="14"/>
      <c r="UZK159" s="1"/>
      <c r="UZL159" s="1"/>
      <c r="UZM159" s="1"/>
      <c r="UZN159" s="1"/>
      <c r="UZO159" s="1"/>
      <c r="UZP159" s="14"/>
      <c r="VAA159" s="1"/>
      <c r="VAB159" s="1"/>
      <c r="VAC159" s="1"/>
      <c r="VAD159" s="1"/>
      <c r="VAE159" s="1"/>
      <c r="VAF159" s="14"/>
      <c r="VAQ159" s="1"/>
      <c r="VAR159" s="1"/>
      <c r="VAS159" s="1"/>
      <c r="VAT159" s="1"/>
      <c r="VAU159" s="1"/>
      <c r="VAV159" s="14"/>
      <c r="VBG159" s="1"/>
      <c r="VBH159" s="1"/>
      <c r="VBI159" s="1"/>
      <c r="VBJ159" s="1"/>
      <c r="VBK159" s="1"/>
      <c r="VBL159" s="14"/>
      <c r="VBW159" s="1"/>
      <c r="VBX159" s="1"/>
      <c r="VBY159" s="1"/>
      <c r="VBZ159" s="1"/>
      <c r="VCA159" s="1"/>
      <c r="VCB159" s="14"/>
      <c r="VCM159" s="1"/>
      <c r="VCN159" s="1"/>
      <c r="VCO159" s="1"/>
      <c r="VCP159" s="1"/>
      <c r="VCQ159" s="1"/>
      <c r="VCR159" s="14"/>
      <c r="VDC159" s="1"/>
      <c r="VDD159" s="1"/>
      <c r="VDE159" s="1"/>
      <c r="VDF159" s="1"/>
      <c r="VDG159" s="1"/>
      <c r="VDH159" s="14"/>
      <c r="VDS159" s="1"/>
      <c r="VDT159" s="1"/>
      <c r="VDU159" s="1"/>
      <c r="VDV159" s="1"/>
      <c r="VDW159" s="1"/>
      <c r="VDX159" s="14"/>
      <c r="VEI159" s="1"/>
      <c r="VEJ159" s="1"/>
      <c r="VEK159" s="1"/>
      <c r="VEL159" s="1"/>
      <c r="VEM159" s="1"/>
      <c r="VEN159" s="14"/>
      <c r="VEY159" s="1"/>
      <c r="VEZ159" s="1"/>
      <c r="VFA159" s="1"/>
      <c r="VFB159" s="1"/>
      <c r="VFC159" s="1"/>
      <c r="VFD159" s="14"/>
      <c r="VFO159" s="1"/>
      <c r="VFP159" s="1"/>
      <c r="VFQ159" s="1"/>
      <c r="VFR159" s="1"/>
      <c r="VFS159" s="1"/>
      <c r="VFT159" s="14"/>
      <c r="VGE159" s="1"/>
      <c r="VGF159" s="1"/>
      <c r="VGG159" s="1"/>
      <c r="VGH159" s="1"/>
      <c r="VGI159" s="1"/>
      <c r="VGJ159" s="14"/>
      <c r="VGU159" s="1"/>
      <c r="VGV159" s="1"/>
      <c r="VGW159" s="1"/>
      <c r="VGX159" s="1"/>
      <c r="VGY159" s="1"/>
      <c r="VGZ159" s="14"/>
      <c r="VHK159" s="1"/>
      <c r="VHL159" s="1"/>
      <c r="VHM159" s="1"/>
      <c r="VHN159" s="1"/>
      <c r="VHO159" s="1"/>
      <c r="VHP159" s="14"/>
      <c r="VIA159" s="1"/>
      <c r="VIB159" s="1"/>
      <c r="VIC159" s="1"/>
      <c r="VID159" s="1"/>
      <c r="VIE159" s="1"/>
      <c r="VIF159" s="14"/>
      <c r="VIQ159" s="1"/>
      <c r="VIR159" s="1"/>
      <c r="VIS159" s="1"/>
      <c r="VIT159" s="1"/>
      <c r="VIU159" s="1"/>
      <c r="VIV159" s="14"/>
      <c r="VJG159" s="1"/>
      <c r="VJH159" s="1"/>
      <c r="VJI159" s="1"/>
      <c r="VJJ159" s="1"/>
      <c r="VJK159" s="1"/>
      <c r="VJL159" s="14"/>
      <c r="VJW159" s="1"/>
      <c r="VJX159" s="1"/>
      <c r="VJY159" s="1"/>
      <c r="VJZ159" s="1"/>
      <c r="VKA159" s="1"/>
      <c r="VKB159" s="14"/>
      <c r="VKM159" s="1"/>
      <c r="VKN159" s="1"/>
      <c r="VKO159" s="1"/>
      <c r="VKP159" s="1"/>
      <c r="VKQ159" s="1"/>
      <c r="VKR159" s="14"/>
      <c r="VLC159" s="1"/>
      <c r="VLD159" s="1"/>
      <c r="VLE159" s="1"/>
      <c r="VLF159" s="1"/>
      <c r="VLG159" s="1"/>
      <c r="VLH159" s="14"/>
      <c r="VLS159" s="1"/>
      <c r="VLT159" s="1"/>
      <c r="VLU159" s="1"/>
      <c r="VLV159" s="1"/>
      <c r="VLW159" s="1"/>
      <c r="VLX159" s="14"/>
      <c r="VMI159" s="1"/>
      <c r="VMJ159" s="1"/>
      <c r="VMK159" s="1"/>
      <c r="VML159" s="1"/>
      <c r="VMM159" s="1"/>
      <c r="VMN159" s="14"/>
      <c r="VMY159" s="1"/>
      <c r="VMZ159" s="1"/>
      <c r="VNA159" s="1"/>
      <c r="VNB159" s="1"/>
      <c r="VNC159" s="1"/>
      <c r="VND159" s="14"/>
      <c r="VNO159" s="1"/>
      <c r="VNP159" s="1"/>
      <c r="VNQ159" s="1"/>
      <c r="VNR159" s="1"/>
      <c r="VNS159" s="1"/>
      <c r="VNT159" s="14"/>
      <c r="VOE159" s="1"/>
      <c r="VOF159" s="1"/>
      <c r="VOG159" s="1"/>
      <c r="VOH159" s="1"/>
      <c r="VOI159" s="1"/>
      <c r="VOJ159" s="14"/>
      <c r="VOU159" s="1"/>
      <c r="VOV159" s="1"/>
      <c r="VOW159" s="1"/>
      <c r="VOX159" s="1"/>
      <c r="VOY159" s="1"/>
      <c r="VOZ159" s="14"/>
      <c r="VPK159" s="1"/>
      <c r="VPL159" s="1"/>
      <c r="VPM159" s="1"/>
      <c r="VPN159" s="1"/>
      <c r="VPO159" s="1"/>
      <c r="VPP159" s="14"/>
      <c r="VQA159" s="1"/>
      <c r="VQB159" s="1"/>
      <c r="VQC159" s="1"/>
      <c r="VQD159" s="1"/>
      <c r="VQE159" s="1"/>
      <c r="VQF159" s="14"/>
      <c r="VQQ159" s="1"/>
      <c r="VQR159" s="1"/>
      <c r="VQS159" s="1"/>
      <c r="VQT159" s="1"/>
      <c r="VQU159" s="1"/>
      <c r="VQV159" s="14"/>
      <c r="VRG159" s="1"/>
      <c r="VRH159" s="1"/>
      <c r="VRI159" s="1"/>
      <c r="VRJ159" s="1"/>
      <c r="VRK159" s="1"/>
      <c r="VRL159" s="14"/>
      <c r="VRW159" s="1"/>
      <c r="VRX159" s="1"/>
      <c r="VRY159" s="1"/>
      <c r="VRZ159" s="1"/>
      <c r="VSA159" s="1"/>
      <c r="VSB159" s="14"/>
      <c r="VSM159" s="1"/>
      <c r="VSN159" s="1"/>
      <c r="VSO159" s="1"/>
      <c r="VSP159" s="1"/>
      <c r="VSQ159" s="1"/>
      <c r="VSR159" s="14"/>
      <c r="VTC159" s="1"/>
      <c r="VTD159" s="1"/>
      <c r="VTE159" s="1"/>
      <c r="VTF159" s="1"/>
      <c r="VTG159" s="1"/>
      <c r="VTH159" s="14"/>
      <c r="VTS159" s="1"/>
      <c r="VTT159" s="1"/>
      <c r="VTU159" s="1"/>
      <c r="VTV159" s="1"/>
      <c r="VTW159" s="1"/>
      <c r="VTX159" s="14"/>
      <c r="VUI159" s="1"/>
      <c r="VUJ159" s="1"/>
      <c r="VUK159" s="1"/>
      <c r="VUL159" s="1"/>
      <c r="VUM159" s="1"/>
      <c r="VUN159" s="14"/>
      <c r="VUY159" s="1"/>
      <c r="VUZ159" s="1"/>
      <c r="VVA159" s="1"/>
      <c r="VVB159" s="1"/>
      <c r="VVC159" s="1"/>
      <c r="VVD159" s="14"/>
      <c r="VVO159" s="1"/>
      <c r="VVP159" s="1"/>
      <c r="VVQ159" s="1"/>
      <c r="VVR159" s="1"/>
      <c r="VVS159" s="1"/>
      <c r="VVT159" s="14"/>
      <c r="VWE159" s="1"/>
      <c r="VWF159" s="1"/>
      <c r="VWG159" s="1"/>
      <c r="VWH159" s="1"/>
      <c r="VWI159" s="1"/>
      <c r="VWJ159" s="14"/>
      <c r="VWU159" s="1"/>
      <c r="VWV159" s="1"/>
      <c r="VWW159" s="1"/>
      <c r="VWX159" s="1"/>
      <c r="VWY159" s="1"/>
      <c r="VWZ159" s="14"/>
      <c r="VXK159" s="1"/>
      <c r="VXL159" s="1"/>
      <c r="VXM159" s="1"/>
      <c r="VXN159" s="1"/>
      <c r="VXO159" s="1"/>
      <c r="VXP159" s="14"/>
      <c r="VYA159" s="1"/>
      <c r="VYB159" s="1"/>
      <c r="VYC159" s="1"/>
      <c r="VYD159" s="1"/>
      <c r="VYE159" s="1"/>
      <c r="VYF159" s="14"/>
      <c r="VYQ159" s="1"/>
      <c r="VYR159" s="1"/>
      <c r="VYS159" s="1"/>
      <c r="VYT159" s="1"/>
      <c r="VYU159" s="1"/>
      <c r="VYV159" s="14"/>
      <c r="VZG159" s="1"/>
      <c r="VZH159" s="1"/>
      <c r="VZI159" s="1"/>
      <c r="VZJ159" s="1"/>
      <c r="VZK159" s="1"/>
      <c r="VZL159" s="14"/>
      <c r="VZW159" s="1"/>
      <c r="VZX159" s="1"/>
      <c r="VZY159" s="1"/>
      <c r="VZZ159" s="1"/>
      <c r="WAA159" s="1"/>
      <c r="WAB159" s="14"/>
      <c r="WAM159" s="1"/>
      <c r="WAN159" s="1"/>
      <c r="WAO159" s="1"/>
      <c r="WAP159" s="1"/>
      <c r="WAQ159" s="1"/>
      <c r="WAR159" s="14"/>
      <c r="WBC159" s="1"/>
      <c r="WBD159" s="1"/>
      <c r="WBE159" s="1"/>
      <c r="WBF159" s="1"/>
      <c r="WBG159" s="1"/>
      <c r="WBH159" s="14"/>
      <c r="WBS159" s="1"/>
      <c r="WBT159" s="1"/>
      <c r="WBU159" s="1"/>
      <c r="WBV159" s="1"/>
      <c r="WBW159" s="1"/>
      <c r="WBX159" s="14"/>
      <c r="WCI159" s="1"/>
      <c r="WCJ159" s="1"/>
      <c r="WCK159" s="1"/>
      <c r="WCL159" s="1"/>
      <c r="WCM159" s="1"/>
      <c r="WCN159" s="14"/>
      <c r="WCY159" s="1"/>
      <c r="WCZ159" s="1"/>
      <c r="WDA159" s="1"/>
      <c r="WDB159" s="1"/>
      <c r="WDC159" s="1"/>
      <c r="WDD159" s="14"/>
      <c r="WDO159" s="1"/>
      <c r="WDP159" s="1"/>
      <c r="WDQ159" s="1"/>
      <c r="WDR159" s="1"/>
      <c r="WDS159" s="1"/>
      <c r="WDT159" s="14"/>
      <c r="WEE159" s="1"/>
      <c r="WEF159" s="1"/>
      <c r="WEG159" s="1"/>
      <c r="WEH159" s="1"/>
      <c r="WEI159" s="1"/>
      <c r="WEJ159" s="14"/>
      <c r="WEU159" s="1"/>
      <c r="WEV159" s="1"/>
      <c r="WEW159" s="1"/>
      <c r="WEX159" s="1"/>
      <c r="WEY159" s="1"/>
      <c r="WEZ159" s="14"/>
      <c r="WFK159" s="1"/>
      <c r="WFL159" s="1"/>
      <c r="WFM159" s="1"/>
      <c r="WFN159" s="1"/>
      <c r="WFO159" s="1"/>
      <c r="WFP159" s="14"/>
      <c r="WGA159" s="1"/>
      <c r="WGB159" s="1"/>
      <c r="WGC159" s="1"/>
      <c r="WGD159" s="1"/>
      <c r="WGE159" s="1"/>
      <c r="WGF159" s="14"/>
      <c r="WGQ159" s="1"/>
      <c r="WGR159" s="1"/>
      <c r="WGS159" s="1"/>
      <c r="WGT159" s="1"/>
      <c r="WGU159" s="1"/>
      <c r="WGV159" s="14"/>
      <c r="WHG159" s="1"/>
      <c r="WHH159" s="1"/>
      <c r="WHI159" s="1"/>
      <c r="WHJ159" s="1"/>
      <c r="WHK159" s="1"/>
      <c r="WHL159" s="14"/>
      <c r="WHW159" s="1"/>
      <c r="WHX159" s="1"/>
      <c r="WHY159" s="1"/>
      <c r="WHZ159" s="1"/>
      <c r="WIA159" s="1"/>
      <c r="WIB159" s="14"/>
      <c r="WIM159" s="1"/>
      <c r="WIN159" s="1"/>
      <c r="WIO159" s="1"/>
      <c r="WIP159" s="1"/>
      <c r="WIQ159" s="1"/>
      <c r="WIR159" s="14"/>
      <c r="WJC159" s="1"/>
      <c r="WJD159" s="1"/>
      <c r="WJE159" s="1"/>
      <c r="WJF159" s="1"/>
      <c r="WJG159" s="1"/>
      <c r="WJH159" s="14"/>
      <c r="WJS159" s="1"/>
      <c r="WJT159" s="1"/>
      <c r="WJU159" s="1"/>
      <c r="WJV159" s="1"/>
      <c r="WJW159" s="1"/>
      <c r="WJX159" s="14"/>
      <c r="WKI159" s="1"/>
      <c r="WKJ159" s="1"/>
      <c r="WKK159" s="1"/>
      <c r="WKL159" s="1"/>
      <c r="WKM159" s="1"/>
      <c r="WKN159" s="14"/>
      <c r="WKY159" s="1"/>
      <c r="WKZ159" s="1"/>
      <c r="WLA159" s="1"/>
      <c r="WLB159" s="1"/>
      <c r="WLC159" s="1"/>
      <c r="WLD159" s="14"/>
      <c r="WLO159" s="1"/>
      <c r="WLP159" s="1"/>
      <c r="WLQ159" s="1"/>
      <c r="WLR159" s="1"/>
      <c r="WLS159" s="1"/>
      <c r="WLT159" s="14"/>
      <c r="WME159" s="1"/>
      <c r="WMF159" s="1"/>
      <c r="WMG159" s="1"/>
      <c r="WMH159" s="1"/>
      <c r="WMI159" s="1"/>
      <c r="WMJ159" s="14"/>
      <c r="WMU159" s="1"/>
      <c r="WMV159" s="1"/>
      <c r="WMW159" s="1"/>
      <c r="WMX159" s="1"/>
      <c r="WMY159" s="1"/>
      <c r="WMZ159" s="14"/>
      <c r="WNK159" s="1"/>
      <c r="WNL159" s="1"/>
      <c r="WNM159" s="1"/>
      <c r="WNN159" s="1"/>
      <c r="WNO159" s="1"/>
      <c r="WNP159" s="14"/>
      <c r="WOA159" s="1"/>
      <c r="WOB159" s="1"/>
      <c r="WOC159" s="1"/>
      <c r="WOD159" s="1"/>
      <c r="WOE159" s="1"/>
      <c r="WOF159" s="14"/>
      <c r="WOQ159" s="1"/>
      <c r="WOR159" s="1"/>
      <c r="WOS159" s="1"/>
      <c r="WOT159" s="1"/>
      <c r="WOU159" s="1"/>
      <c r="WOV159" s="14"/>
      <c r="WPG159" s="1"/>
      <c r="WPH159" s="1"/>
      <c r="WPI159" s="1"/>
      <c r="WPJ159" s="1"/>
      <c r="WPK159" s="1"/>
      <c r="WPL159" s="14"/>
      <c r="WPW159" s="1"/>
      <c r="WPX159" s="1"/>
      <c r="WPY159" s="1"/>
      <c r="WPZ159" s="1"/>
      <c r="WQA159" s="1"/>
      <c r="WQB159" s="14"/>
      <c r="WQM159" s="1"/>
      <c r="WQN159" s="1"/>
      <c r="WQO159" s="1"/>
      <c r="WQP159" s="1"/>
      <c r="WQQ159" s="1"/>
      <c r="WQR159" s="14"/>
      <c r="WRC159" s="1"/>
      <c r="WRD159" s="1"/>
      <c r="WRE159" s="1"/>
      <c r="WRF159" s="1"/>
      <c r="WRG159" s="1"/>
      <c r="WRH159" s="14"/>
      <c r="WRS159" s="1"/>
      <c r="WRT159" s="1"/>
      <c r="WRU159" s="1"/>
      <c r="WRV159" s="1"/>
      <c r="WRW159" s="1"/>
      <c r="WRX159" s="14"/>
      <c r="WSI159" s="1"/>
      <c r="WSJ159" s="1"/>
      <c r="WSK159" s="1"/>
      <c r="WSL159" s="1"/>
      <c r="WSM159" s="1"/>
      <c r="WSN159" s="14"/>
      <c r="WSY159" s="1"/>
      <c r="WSZ159" s="1"/>
      <c r="WTA159" s="1"/>
      <c r="WTB159" s="1"/>
      <c r="WTC159" s="1"/>
      <c r="WTD159" s="14"/>
      <c r="WTO159" s="1"/>
      <c r="WTP159" s="1"/>
      <c r="WTQ159" s="1"/>
      <c r="WTR159" s="1"/>
      <c r="WTS159" s="1"/>
      <c r="WTT159" s="14"/>
      <c r="WUE159" s="1"/>
      <c r="WUF159" s="1"/>
      <c r="WUG159" s="1"/>
      <c r="WUH159" s="1"/>
      <c r="WUI159" s="1"/>
      <c r="WUJ159" s="14"/>
      <c r="WUU159" s="1"/>
      <c r="WUV159" s="1"/>
      <c r="WUW159" s="1"/>
      <c r="WUX159" s="1"/>
      <c r="WUY159" s="1"/>
      <c r="WUZ159" s="14"/>
      <c r="WVK159" s="1"/>
      <c r="WVL159" s="1"/>
      <c r="WVM159" s="1"/>
      <c r="WVN159" s="1"/>
      <c r="WVO159" s="1"/>
      <c r="WVP159" s="14"/>
      <c r="WWA159" s="1"/>
      <c r="WWB159" s="1"/>
      <c r="WWC159" s="1"/>
      <c r="WWD159" s="1"/>
      <c r="WWE159" s="1"/>
      <c r="WWF159" s="14"/>
      <c r="WWQ159" s="1"/>
      <c r="WWR159" s="1"/>
      <c r="WWS159" s="1"/>
      <c r="WWT159" s="1"/>
      <c r="WWU159" s="1"/>
      <c r="WWV159" s="14"/>
      <c r="WXG159" s="1"/>
      <c r="WXH159" s="1"/>
      <c r="WXI159" s="1"/>
      <c r="WXJ159" s="1"/>
      <c r="WXK159" s="1"/>
      <c r="WXL159" s="14"/>
      <c r="WXW159" s="1"/>
      <c r="WXX159" s="1"/>
      <c r="WXY159" s="1"/>
      <c r="WXZ159" s="1"/>
      <c r="WYA159" s="1"/>
      <c r="WYB159" s="14"/>
      <c r="WYM159" s="1"/>
      <c r="WYN159" s="1"/>
      <c r="WYO159" s="1"/>
      <c r="WYP159" s="1"/>
      <c r="WYQ159" s="1"/>
      <c r="WYR159" s="14"/>
      <c r="WZC159" s="1"/>
      <c r="WZD159" s="1"/>
      <c r="WZE159" s="1"/>
      <c r="WZF159" s="1"/>
      <c r="WZG159" s="1"/>
      <c r="WZH159" s="14"/>
      <c r="WZS159" s="1"/>
      <c r="WZT159" s="1"/>
      <c r="WZU159" s="1"/>
      <c r="WZV159" s="1"/>
      <c r="WZW159" s="1"/>
      <c r="WZX159" s="14"/>
      <c r="XAI159" s="1"/>
      <c r="XAJ159" s="1"/>
      <c r="XAK159" s="1"/>
      <c r="XAL159" s="1"/>
      <c r="XAM159" s="1"/>
      <c r="XAN159" s="14"/>
      <c r="XAY159" s="1"/>
      <c r="XAZ159" s="1"/>
      <c r="XBA159" s="1"/>
      <c r="XBB159" s="1"/>
      <c r="XBC159" s="1"/>
      <c r="XBD159" s="14"/>
      <c r="XBO159" s="1"/>
      <c r="XBP159" s="1"/>
      <c r="XBQ159" s="1"/>
      <c r="XBR159" s="1"/>
      <c r="XBS159" s="1"/>
      <c r="XBT159" s="14"/>
      <c r="XCE159" s="1"/>
      <c r="XCF159" s="1"/>
      <c r="XCG159" s="1"/>
      <c r="XCH159" s="1"/>
      <c r="XCI159" s="1"/>
      <c r="XCJ159" s="14"/>
      <c r="XCU159" s="1"/>
      <c r="XCV159" s="1"/>
      <c r="XCW159" s="1"/>
      <c r="XCX159" s="1"/>
      <c r="XCY159" s="1"/>
      <c r="XCZ159" s="14"/>
      <c r="XDK159" s="1"/>
      <c r="XDL159" s="1"/>
      <c r="XDM159" s="1"/>
      <c r="XDN159" s="1"/>
      <c r="XDO159" s="1"/>
      <c r="XDP159" s="14"/>
      <c r="XEA159" s="1"/>
      <c r="XEB159" s="1"/>
      <c r="XEC159" s="1"/>
      <c r="XED159" s="1"/>
      <c r="XEE159" s="1"/>
      <c r="XEF159" s="14"/>
      <c r="XEQ159" s="1"/>
      <c r="XER159" s="1"/>
      <c r="XES159" s="1"/>
      <c r="XET159" s="1"/>
      <c r="XEU159" s="1"/>
      <c r="XEV159" s="14"/>
    </row>
    <row r="160" spans="1:1016 1027:2040 2051:3064 3075:4088 4099:5112 5123:6136 6147:7160 7171:8184 8195:9208 9219:10232 10243:11256 11267:12280 12291:13304 13315:14328 14339:15352 15363:16376" s="51" customFormat="1" ht="15" thickBot="1" x14ac:dyDescent="0.25">
      <c r="A160" s="80" t="s">
        <v>36</v>
      </c>
      <c r="B160" s="81"/>
      <c r="C160" s="82"/>
      <c r="D160" s="34"/>
      <c r="E160" s="35"/>
      <c r="F160" s="36"/>
      <c r="G160" s="45">
        <f>G159-G158</f>
        <v>0</v>
      </c>
      <c r="H160" s="45">
        <f>H159-H158</f>
        <v>0</v>
      </c>
      <c r="I160" s="45">
        <f t="shared" ref="I160:J160" si="40">I159-I158</f>
        <v>0</v>
      </c>
      <c r="J160" s="45">
        <f t="shared" si="40"/>
        <v>0</v>
      </c>
      <c r="K160" s="45">
        <f>K159-K158</f>
        <v>0</v>
      </c>
      <c r="L160" s="45">
        <f t="shared" ref="L160:N160" si="41">L159-L158</f>
        <v>0</v>
      </c>
      <c r="M160" s="45">
        <f t="shared" si="41"/>
        <v>0</v>
      </c>
      <c r="N160" s="45">
        <f t="shared" si="41"/>
        <v>0</v>
      </c>
      <c r="O160" s="45">
        <f t="shared" ref="O160:P160" si="42">O159-O158</f>
        <v>0</v>
      </c>
      <c r="P160" s="45">
        <f t="shared" si="42"/>
        <v>0</v>
      </c>
      <c r="Q160" s="45">
        <f>Q159-Q158</f>
        <v>0</v>
      </c>
      <c r="R160" s="46">
        <f>R159-R158</f>
        <v>0</v>
      </c>
      <c r="S160" s="1"/>
      <c r="T160" s="1"/>
      <c r="U160" s="1"/>
      <c r="V160" s="2"/>
      <c r="W160" s="2"/>
      <c r="X160" s="14"/>
      <c r="AI160" s="1"/>
      <c r="AJ160" s="1"/>
      <c r="AK160" s="1"/>
      <c r="AL160" s="2"/>
      <c r="AM160" s="2"/>
      <c r="AN160" s="14"/>
      <c r="AY160" s="1"/>
      <c r="AZ160" s="1"/>
      <c r="BA160" s="1"/>
      <c r="BB160" s="2"/>
      <c r="BC160" s="2"/>
      <c r="BD160" s="14"/>
      <c r="BO160" s="1"/>
      <c r="BP160" s="1"/>
      <c r="BQ160" s="1"/>
      <c r="BR160" s="2"/>
      <c r="BS160" s="2"/>
      <c r="BT160" s="14"/>
      <c r="CE160" s="1"/>
      <c r="CF160" s="1"/>
      <c r="CG160" s="1"/>
      <c r="CH160" s="2"/>
      <c r="CI160" s="2"/>
      <c r="CJ160" s="14"/>
      <c r="CU160" s="1"/>
      <c r="CV160" s="1"/>
      <c r="CW160" s="1"/>
      <c r="CX160" s="2"/>
      <c r="CY160" s="2"/>
      <c r="CZ160" s="14"/>
      <c r="DK160" s="1"/>
      <c r="DL160" s="1"/>
      <c r="DM160" s="1"/>
      <c r="DN160" s="2"/>
      <c r="DO160" s="2"/>
      <c r="DP160" s="14"/>
      <c r="EA160" s="1"/>
      <c r="EB160" s="1"/>
      <c r="EC160" s="1"/>
      <c r="ED160" s="2"/>
      <c r="EE160" s="2"/>
      <c r="EF160" s="14"/>
      <c r="EQ160" s="1"/>
      <c r="ER160" s="1"/>
      <c r="ES160" s="1"/>
      <c r="ET160" s="2"/>
      <c r="EU160" s="2"/>
      <c r="EV160" s="14"/>
      <c r="FG160" s="1"/>
      <c r="FH160" s="1"/>
      <c r="FI160" s="1"/>
      <c r="FJ160" s="2"/>
      <c r="FK160" s="2"/>
      <c r="FL160" s="14"/>
      <c r="FW160" s="1"/>
      <c r="FX160" s="1"/>
      <c r="FY160" s="1"/>
      <c r="FZ160" s="2"/>
      <c r="GA160" s="2"/>
      <c r="GB160" s="14"/>
      <c r="GM160" s="1"/>
      <c r="GN160" s="1"/>
      <c r="GO160" s="1"/>
      <c r="GP160" s="2"/>
      <c r="GQ160" s="2"/>
      <c r="GR160" s="14"/>
      <c r="HC160" s="1"/>
      <c r="HD160" s="1"/>
      <c r="HE160" s="1"/>
      <c r="HF160" s="2"/>
      <c r="HG160" s="2"/>
      <c r="HH160" s="14"/>
      <c r="HS160" s="1"/>
      <c r="HT160" s="1"/>
      <c r="HU160" s="1"/>
      <c r="HV160" s="2"/>
      <c r="HW160" s="2"/>
      <c r="HX160" s="14"/>
      <c r="II160" s="1"/>
      <c r="IJ160" s="1"/>
      <c r="IK160" s="1"/>
      <c r="IL160" s="2"/>
      <c r="IM160" s="2"/>
      <c r="IN160" s="14"/>
      <c r="IY160" s="1"/>
      <c r="IZ160" s="1"/>
      <c r="JA160" s="1"/>
      <c r="JB160" s="2"/>
      <c r="JC160" s="2"/>
      <c r="JD160" s="14"/>
      <c r="JO160" s="1"/>
      <c r="JP160" s="1"/>
      <c r="JQ160" s="1"/>
      <c r="JR160" s="2"/>
      <c r="JS160" s="2"/>
      <c r="JT160" s="14"/>
      <c r="KE160" s="1"/>
      <c r="KF160" s="1"/>
      <c r="KG160" s="1"/>
      <c r="KH160" s="2"/>
      <c r="KI160" s="2"/>
      <c r="KJ160" s="14"/>
      <c r="KU160" s="1"/>
      <c r="KV160" s="1"/>
      <c r="KW160" s="1"/>
      <c r="KX160" s="2"/>
      <c r="KY160" s="2"/>
      <c r="KZ160" s="14"/>
      <c r="LK160" s="1"/>
      <c r="LL160" s="1"/>
      <c r="LM160" s="1"/>
      <c r="LN160" s="2"/>
      <c r="LO160" s="2"/>
      <c r="LP160" s="14"/>
      <c r="MA160" s="1"/>
      <c r="MB160" s="1"/>
      <c r="MC160" s="1"/>
      <c r="MD160" s="2"/>
      <c r="ME160" s="2"/>
      <c r="MF160" s="14"/>
      <c r="MQ160" s="1"/>
      <c r="MR160" s="1"/>
      <c r="MS160" s="1"/>
      <c r="MT160" s="2"/>
      <c r="MU160" s="2"/>
      <c r="MV160" s="14"/>
      <c r="NG160" s="1"/>
      <c r="NH160" s="1"/>
      <c r="NI160" s="1"/>
      <c r="NJ160" s="2"/>
      <c r="NK160" s="2"/>
      <c r="NL160" s="14"/>
      <c r="NW160" s="1"/>
      <c r="NX160" s="1"/>
      <c r="NY160" s="1"/>
      <c r="NZ160" s="2"/>
      <c r="OA160" s="2"/>
      <c r="OB160" s="14"/>
      <c r="OM160" s="1"/>
      <c r="ON160" s="1"/>
      <c r="OO160" s="1"/>
      <c r="OP160" s="2"/>
      <c r="OQ160" s="2"/>
      <c r="OR160" s="14"/>
      <c r="PC160" s="1"/>
      <c r="PD160" s="1"/>
      <c r="PE160" s="1"/>
      <c r="PF160" s="2"/>
      <c r="PG160" s="2"/>
      <c r="PH160" s="14"/>
      <c r="PS160" s="1"/>
      <c r="PT160" s="1"/>
      <c r="PU160" s="1"/>
      <c r="PV160" s="2"/>
      <c r="PW160" s="2"/>
      <c r="PX160" s="14"/>
      <c r="QI160" s="1"/>
      <c r="QJ160" s="1"/>
      <c r="QK160" s="1"/>
      <c r="QL160" s="2"/>
      <c r="QM160" s="2"/>
      <c r="QN160" s="14"/>
      <c r="QY160" s="1"/>
      <c r="QZ160" s="1"/>
      <c r="RA160" s="1"/>
      <c r="RB160" s="2"/>
      <c r="RC160" s="2"/>
      <c r="RD160" s="14"/>
      <c r="RO160" s="1"/>
      <c r="RP160" s="1"/>
      <c r="RQ160" s="1"/>
      <c r="RR160" s="2"/>
      <c r="RS160" s="2"/>
      <c r="RT160" s="14"/>
      <c r="SE160" s="1"/>
      <c r="SF160" s="1"/>
      <c r="SG160" s="1"/>
      <c r="SH160" s="2"/>
      <c r="SI160" s="2"/>
      <c r="SJ160" s="14"/>
      <c r="SU160" s="1"/>
      <c r="SV160" s="1"/>
      <c r="SW160" s="1"/>
      <c r="SX160" s="2"/>
      <c r="SY160" s="2"/>
      <c r="SZ160" s="14"/>
      <c r="TK160" s="1"/>
      <c r="TL160" s="1"/>
      <c r="TM160" s="1"/>
      <c r="TN160" s="2"/>
      <c r="TO160" s="2"/>
      <c r="TP160" s="14"/>
      <c r="UA160" s="1"/>
      <c r="UB160" s="1"/>
      <c r="UC160" s="1"/>
      <c r="UD160" s="2"/>
      <c r="UE160" s="2"/>
      <c r="UF160" s="14"/>
      <c r="UQ160" s="1"/>
      <c r="UR160" s="1"/>
      <c r="US160" s="1"/>
      <c r="UT160" s="2"/>
      <c r="UU160" s="2"/>
      <c r="UV160" s="14"/>
      <c r="VG160" s="1"/>
      <c r="VH160" s="1"/>
      <c r="VI160" s="1"/>
      <c r="VJ160" s="2"/>
      <c r="VK160" s="2"/>
      <c r="VL160" s="14"/>
      <c r="VW160" s="1"/>
      <c r="VX160" s="1"/>
      <c r="VY160" s="1"/>
      <c r="VZ160" s="2"/>
      <c r="WA160" s="2"/>
      <c r="WB160" s="14"/>
      <c r="WM160" s="1"/>
      <c r="WN160" s="1"/>
      <c r="WO160" s="1"/>
      <c r="WP160" s="2"/>
      <c r="WQ160" s="2"/>
      <c r="WR160" s="14"/>
      <c r="XC160" s="1"/>
      <c r="XD160" s="1"/>
      <c r="XE160" s="1"/>
      <c r="XF160" s="2"/>
      <c r="XG160" s="2"/>
      <c r="XH160" s="14"/>
      <c r="XS160" s="1"/>
      <c r="XT160" s="1"/>
      <c r="XU160" s="1"/>
      <c r="XV160" s="2"/>
      <c r="XW160" s="2"/>
      <c r="XX160" s="14"/>
      <c r="YI160" s="1"/>
      <c r="YJ160" s="1"/>
      <c r="YK160" s="1"/>
      <c r="YL160" s="2"/>
      <c r="YM160" s="2"/>
      <c r="YN160" s="14"/>
      <c r="YY160" s="1"/>
      <c r="YZ160" s="1"/>
      <c r="ZA160" s="1"/>
      <c r="ZB160" s="2"/>
      <c r="ZC160" s="2"/>
      <c r="ZD160" s="14"/>
      <c r="ZO160" s="1"/>
      <c r="ZP160" s="1"/>
      <c r="ZQ160" s="1"/>
      <c r="ZR160" s="2"/>
      <c r="ZS160" s="2"/>
      <c r="ZT160" s="14"/>
      <c r="AAE160" s="1"/>
      <c r="AAF160" s="1"/>
      <c r="AAG160" s="1"/>
      <c r="AAH160" s="2"/>
      <c r="AAI160" s="2"/>
      <c r="AAJ160" s="14"/>
      <c r="AAU160" s="1"/>
      <c r="AAV160" s="1"/>
      <c r="AAW160" s="1"/>
      <c r="AAX160" s="2"/>
      <c r="AAY160" s="2"/>
      <c r="AAZ160" s="14"/>
      <c r="ABK160" s="1"/>
      <c r="ABL160" s="1"/>
      <c r="ABM160" s="1"/>
      <c r="ABN160" s="2"/>
      <c r="ABO160" s="2"/>
      <c r="ABP160" s="14"/>
      <c r="ACA160" s="1"/>
      <c r="ACB160" s="1"/>
      <c r="ACC160" s="1"/>
      <c r="ACD160" s="2"/>
      <c r="ACE160" s="2"/>
      <c r="ACF160" s="14"/>
      <c r="ACQ160" s="1"/>
      <c r="ACR160" s="1"/>
      <c r="ACS160" s="1"/>
      <c r="ACT160" s="2"/>
      <c r="ACU160" s="2"/>
      <c r="ACV160" s="14"/>
      <c r="ADG160" s="1"/>
      <c r="ADH160" s="1"/>
      <c r="ADI160" s="1"/>
      <c r="ADJ160" s="2"/>
      <c r="ADK160" s="2"/>
      <c r="ADL160" s="14"/>
      <c r="ADW160" s="1"/>
      <c r="ADX160" s="1"/>
      <c r="ADY160" s="1"/>
      <c r="ADZ160" s="2"/>
      <c r="AEA160" s="2"/>
      <c r="AEB160" s="14"/>
      <c r="AEM160" s="1"/>
      <c r="AEN160" s="1"/>
      <c r="AEO160" s="1"/>
      <c r="AEP160" s="2"/>
      <c r="AEQ160" s="2"/>
      <c r="AER160" s="14"/>
      <c r="AFC160" s="1"/>
      <c r="AFD160" s="1"/>
      <c r="AFE160" s="1"/>
      <c r="AFF160" s="2"/>
      <c r="AFG160" s="2"/>
      <c r="AFH160" s="14"/>
      <c r="AFS160" s="1"/>
      <c r="AFT160" s="1"/>
      <c r="AFU160" s="1"/>
      <c r="AFV160" s="2"/>
      <c r="AFW160" s="2"/>
      <c r="AFX160" s="14"/>
      <c r="AGI160" s="1"/>
      <c r="AGJ160" s="1"/>
      <c r="AGK160" s="1"/>
      <c r="AGL160" s="2"/>
      <c r="AGM160" s="2"/>
      <c r="AGN160" s="14"/>
      <c r="AGY160" s="1"/>
      <c r="AGZ160" s="1"/>
      <c r="AHA160" s="1"/>
      <c r="AHB160" s="2"/>
      <c r="AHC160" s="2"/>
      <c r="AHD160" s="14"/>
      <c r="AHO160" s="1"/>
      <c r="AHP160" s="1"/>
      <c r="AHQ160" s="1"/>
      <c r="AHR160" s="2"/>
      <c r="AHS160" s="2"/>
      <c r="AHT160" s="14"/>
      <c r="AIE160" s="1"/>
      <c r="AIF160" s="1"/>
      <c r="AIG160" s="1"/>
      <c r="AIH160" s="2"/>
      <c r="AII160" s="2"/>
      <c r="AIJ160" s="14"/>
      <c r="AIU160" s="1"/>
      <c r="AIV160" s="1"/>
      <c r="AIW160" s="1"/>
      <c r="AIX160" s="2"/>
      <c r="AIY160" s="2"/>
      <c r="AIZ160" s="14"/>
      <c r="AJK160" s="1"/>
      <c r="AJL160" s="1"/>
      <c r="AJM160" s="1"/>
      <c r="AJN160" s="2"/>
      <c r="AJO160" s="2"/>
      <c r="AJP160" s="14"/>
      <c r="AKA160" s="1"/>
      <c r="AKB160" s="1"/>
      <c r="AKC160" s="1"/>
      <c r="AKD160" s="2"/>
      <c r="AKE160" s="2"/>
      <c r="AKF160" s="14"/>
      <c r="AKQ160" s="1"/>
      <c r="AKR160" s="1"/>
      <c r="AKS160" s="1"/>
      <c r="AKT160" s="2"/>
      <c r="AKU160" s="2"/>
      <c r="AKV160" s="14"/>
      <c r="ALG160" s="1"/>
      <c r="ALH160" s="1"/>
      <c r="ALI160" s="1"/>
      <c r="ALJ160" s="2"/>
      <c r="ALK160" s="2"/>
      <c r="ALL160" s="14"/>
      <c r="ALW160" s="1"/>
      <c r="ALX160" s="1"/>
      <c r="ALY160" s="1"/>
      <c r="ALZ160" s="2"/>
      <c r="AMA160" s="2"/>
      <c r="AMB160" s="14"/>
      <c r="AMM160" s="1"/>
      <c r="AMN160" s="1"/>
      <c r="AMO160" s="1"/>
      <c r="AMP160" s="2"/>
      <c r="AMQ160" s="2"/>
      <c r="AMR160" s="14"/>
      <c r="ANC160" s="1"/>
      <c r="AND160" s="1"/>
      <c r="ANE160" s="1"/>
      <c r="ANF160" s="2"/>
      <c r="ANG160" s="2"/>
      <c r="ANH160" s="14"/>
      <c r="ANS160" s="1"/>
      <c r="ANT160" s="1"/>
      <c r="ANU160" s="1"/>
      <c r="ANV160" s="2"/>
      <c r="ANW160" s="2"/>
      <c r="ANX160" s="14"/>
      <c r="AOI160" s="1"/>
      <c r="AOJ160" s="1"/>
      <c r="AOK160" s="1"/>
      <c r="AOL160" s="2"/>
      <c r="AOM160" s="2"/>
      <c r="AON160" s="14"/>
      <c r="AOY160" s="1"/>
      <c r="AOZ160" s="1"/>
      <c r="APA160" s="1"/>
      <c r="APB160" s="2"/>
      <c r="APC160" s="2"/>
      <c r="APD160" s="14"/>
      <c r="APO160" s="1"/>
      <c r="APP160" s="1"/>
      <c r="APQ160" s="1"/>
      <c r="APR160" s="2"/>
      <c r="APS160" s="2"/>
      <c r="APT160" s="14"/>
      <c r="AQE160" s="1"/>
      <c r="AQF160" s="1"/>
      <c r="AQG160" s="1"/>
      <c r="AQH160" s="2"/>
      <c r="AQI160" s="2"/>
      <c r="AQJ160" s="14"/>
      <c r="AQU160" s="1"/>
      <c r="AQV160" s="1"/>
      <c r="AQW160" s="1"/>
      <c r="AQX160" s="2"/>
      <c r="AQY160" s="2"/>
      <c r="AQZ160" s="14"/>
      <c r="ARK160" s="1"/>
      <c r="ARL160" s="1"/>
      <c r="ARM160" s="1"/>
      <c r="ARN160" s="2"/>
      <c r="ARO160" s="2"/>
      <c r="ARP160" s="14"/>
      <c r="ASA160" s="1"/>
      <c r="ASB160" s="1"/>
      <c r="ASC160" s="1"/>
      <c r="ASD160" s="2"/>
      <c r="ASE160" s="2"/>
      <c r="ASF160" s="14"/>
      <c r="ASQ160" s="1"/>
      <c r="ASR160" s="1"/>
      <c r="ASS160" s="1"/>
      <c r="AST160" s="2"/>
      <c r="ASU160" s="2"/>
      <c r="ASV160" s="14"/>
      <c r="ATG160" s="1"/>
      <c r="ATH160" s="1"/>
      <c r="ATI160" s="1"/>
      <c r="ATJ160" s="2"/>
      <c r="ATK160" s="2"/>
      <c r="ATL160" s="14"/>
      <c r="ATW160" s="1"/>
      <c r="ATX160" s="1"/>
      <c r="ATY160" s="1"/>
      <c r="ATZ160" s="2"/>
      <c r="AUA160" s="2"/>
      <c r="AUB160" s="14"/>
      <c r="AUM160" s="1"/>
      <c r="AUN160" s="1"/>
      <c r="AUO160" s="1"/>
      <c r="AUP160" s="2"/>
      <c r="AUQ160" s="2"/>
      <c r="AUR160" s="14"/>
      <c r="AVC160" s="1"/>
      <c r="AVD160" s="1"/>
      <c r="AVE160" s="1"/>
      <c r="AVF160" s="2"/>
      <c r="AVG160" s="2"/>
      <c r="AVH160" s="14"/>
      <c r="AVS160" s="1"/>
      <c r="AVT160" s="1"/>
      <c r="AVU160" s="1"/>
      <c r="AVV160" s="2"/>
      <c r="AVW160" s="2"/>
      <c r="AVX160" s="14"/>
      <c r="AWI160" s="1"/>
      <c r="AWJ160" s="1"/>
      <c r="AWK160" s="1"/>
      <c r="AWL160" s="2"/>
      <c r="AWM160" s="2"/>
      <c r="AWN160" s="14"/>
      <c r="AWY160" s="1"/>
      <c r="AWZ160" s="1"/>
      <c r="AXA160" s="1"/>
      <c r="AXB160" s="2"/>
      <c r="AXC160" s="2"/>
      <c r="AXD160" s="14"/>
      <c r="AXO160" s="1"/>
      <c r="AXP160" s="1"/>
      <c r="AXQ160" s="1"/>
      <c r="AXR160" s="2"/>
      <c r="AXS160" s="2"/>
      <c r="AXT160" s="14"/>
      <c r="AYE160" s="1"/>
      <c r="AYF160" s="1"/>
      <c r="AYG160" s="1"/>
      <c r="AYH160" s="2"/>
      <c r="AYI160" s="2"/>
      <c r="AYJ160" s="14"/>
      <c r="AYU160" s="1"/>
      <c r="AYV160" s="1"/>
      <c r="AYW160" s="1"/>
      <c r="AYX160" s="2"/>
      <c r="AYY160" s="2"/>
      <c r="AYZ160" s="14"/>
      <c r="AZK160" s="1"/>
      <c r="AZL160" s="1"/>
      <c r="AZM160" s="1"/>
      <c r="AZN160" s="2"/>
      <c r="AZO160" s="2"/>
      <c r="AZP160" s="14"/>
      <c r="BAA160" s="1"/>
      <c r="BAB160" s="1"/>
      <c r="BAC160" s="1"/>
      <c r="BAD160" s="2"/>
      <c r="BAE160" s="2"/>
      <c r="BAF160" s="14"/>
      <c r="BAQ160" s="1"/>
      <c r="BAR160" s="1"/>
      <c r="BAS160" s="1"/>
      <c r="BAT160" s="2"/>
      <c r="BAU160" s="2"/>
      <c r="BAV160" s="14"/>
      <c r="BBG160" s="1"/>
      <c r="BBH160" s="1"/>
      <c r="BBI160" s="1"/>
      <c r="BBJ160" s="2"/>
      <c r="BBK160" s="2"/>
      <c r="BBL160" s="14"/>
      <c r="BBW160" s="1"/>
      <c r="BBX160" s="1"/>
      <c r="BBY160" s="1"/>
      <c r="BBZ160" s="2"/>
      <c r="BCA160" s="2"/>
      <c r="BCB160" s="14"/>
      <c r="BCM160" s="1"/>
      <c r="BCN160" s="1"/>
      <c r="BCO160" s="1"/>
      <c r="BCP160" s="2"/>
      <c r="BCQ160" s="2"/>
      <c r="BCR160" s="14"/>
      <c r="BDC160" s="1"/>
      <c r="BDD160" s="1"/>
      <c r="BDE160" s="1"/>
      <c r="BDF160" s="2"/>
      <c r="BDG160" s="2"/>
      <c r="BDH160" s="14"/>
      <c r="BDS160" s="1"/>
      <c r="BDT160" s="1"/>
      <c r="BDU160" s="1"/>
      <c r="BDV160" s="2"/>
      <c r="BDW160" s="2"/>
      <c r="BDX160" s="14"/>
      <c r="BEI160" s="1"/>
      <c r="BEJ160" s="1"/>
      <c r="BEK160" s="1"/>
      <c r="BEL160" s="2"/>
      <c r="BEM160" s="2"/>
      <c r="BEN160" s="14"/>
      <c r="BEY160" s="1"/>
      <c r="BEZ160" s="1"/>
      <c r="BFA160" s="1"/>
      <c r="BFB160" s="2"/>
      <c r="BFC160" s="2"/>
      <c r="BFD160" s="14"/>
      <c r="BFO160" s="1"/>
      <c r="BFP160" s="1"/>
      <c r="BFQ160" s="1"/>
      <c r="BFR160" s="2"/>
      <c r="BFS160" s="2"/>
      <c r="BFT160" s="14"/>
      <c r="BGE160" s="1"/>
      <c r="BGF160" s="1"/>
      <c r="BGG160" s="1"/>
      <c r="BGH160" s="2"/>
      <c r="BGI160" s="2"/>
      <c r="BGJ160" s="14"/>
      <c r="BGU160" s="1"/>
      <c r="BGV160" s="1"/>
      <c r="BGW160" s="1"/>
      <c r="BGX160" s="2"/>
      <c r="BGY160" s="2"/>
      <c r="BGZ160" s="14"/>
      <c r="BHK160" s="1"/>
      <c r="BHL160" s="1"/>
      <c r="BHM160" s="1"/>
      <c r="BHN160" s="2"/>
      <c r="BHO160" s="2"/>
      <c r="BHP160" s="14"/>
      <c r="BIA160" s="1"/>
      <c r="BIB160" s="1"/>
      <c r="BIC160" s="1"/>
      <c r="BID160" s="2"/>
      <c r="BIE160" s="2"/>
      <c r="BIF160" s="14"/>
      <c r="BIQ160" s="1"/>
      <c r="BIR160" s="1"/>
      <c r="BIS160" s="1"/>
      <c r="BIT160" s="2"/>
      <c r="BIU160" s="2"/>
      <c r="BIV160" s="14"/>
      <c r="BJG160" s="1"/>
      <c r="BJH160" s="1"/>
      <c r="BJI160" s="1"/>
      <c r="BJJ160" s="2"/>
      <c r="BJK160" s="2"/>
      <c r="BJL160" s="14"/>
      <c r="BJW160" s="1"/>
      <c r="BJX160" s="1"/>
      <c r="BJY160" s="1"/>
      <c r="BJZ160" s="2"/>
      <c r="BKA160" s="2"/>
      <c r="BKB160" s="14"/>
      <c r="BKM160" s="1"/>
      <c r="BKN160" s="1"/>
      <c r="BKO160" s="1"/>
      <c r="BKP160" s="2"/>
      <c r="BKQ160" s="2"/>
      <c r="BKR160" s="14"/>
      <c r="BLC160" s="1"/>
      <c r="BLD160" s="1"/>
      <c r="BLE160" s="1"/>
      <c r="BLF160" s="2"/>
      <c r="BLG160" s="2"/>
      <c r="BLH160" s="14"/>
      <c r="BLS160" s="1"/>
      <c r="BLT160" s="1"/>
      <c r="BLU160" s="1"/>
      <c r="BLV160" s="2"/>
      <c r="BLW160" s="2"/>
      <c r="BLX160" s="14"/>
      <c r="BMI160" s="1"/>
      <c r="BMJ160" s="1"/>
      <c r="BMK160" s="1"/>
      <c r="BML160" s="2"/>
      <c r="BMM160" s="2"/>
      <c r="BMN160" s="14"/>
      <c r="BMY160" s="1"/>
      <c r="BMZ160" s="1"/>
      <c r="BNA160" s="1"/>
      <c r="BNB160" s="2"/>
      <c r="BNC160" s="2"/>
      <c r="BND160" s="14"/>
      <c r="BNO160" s="1"/>
      <c r="BNP160" s="1"/>
      <c r="BNQ160" s="1"/>
      <c r="BNR160" s="2"/>
      <c r="BNS160" s="2"/>
      <c r="BNT160" s="14"/>
      <c r="BOE160" s="1"/>
      <c r="BOF160" s="1"/>
      <c r="BOG160" s="1"/>
      <c r="BOH160" s="2"/>
      <c r="BOI160" s="2"/>
      <c r="BOJ160" s="14"/>
      <c r="BOU160" s="1"/>
      <c r="BOV160" s="1"/>
      <c r="BOW160" s="1"/>
      <c r="BOX160" s="2"/>
      <c r="BOY160" s="2"/>
      <c r="BOZ160" s="14"/>
      <c r="BPK160" s="1"/>
      <c r="BPL160" s="1"/>
      <c r="BPM160" s="1"/>
      <c r="BPN160" s="2"/>
      <c r="BPO160" s="2"/>
      <c r="BPP160" s="14"/>
      <c r="BQA160" s="1"/>
      <c r="BQB160" s="1"/>
      <c r="BQC160" s="1"/>
      <c r="BQD160" s="2"/>
      <c r="BQE160" s="2"/>
      <c r="BQF160" s="14"/>
      <c r="BQQ160" s="1"/>
      <c r="BQR160" s="1"/>
      <c r="BQS160" s="1"/>
      <c r="BQT160" s="2"/>
      <c r="BQU160" s="2"/>
      <c r="BQV160" s="14"/>
      <c r="BRG160" s="1"/>
      <c r="BRH160" s="1"/>
      <c r="BRI160" s="1"/>
      <c r="BRJ160" s="2"/>
      <c r="BRK160" s="2"/>
      <c r="BRL160" s="14"/>
      <c r="BRW160" s="1"/>
      <c r="BRX160" s="1"/>
      <c r="BRY160" s="1"/>
      <c r="BRZ160" s="2"/>
      <c r="BSA160" s="2"/>
      <c r="BSB160" s="14"/>
      <c r="BSM160" s="1"/>
      <c r="BSN160" s="1"/>
      <c r="BSO160" s="1"/>
      <c r="BSP160" s="2"/>
      <c r="BSQ160" s="2"/>
      <c r="BSR160" s="14"/>
      <c r="BTC160" s="1"/>
      <c r="BTD160" s="1"/>
      <c r="BTE160" s="1"/>
      <c r="BTF160" s="2"/>
      <c r="BTG160" s="2"/>
      <c r="BTH160" s="14"/>
      <c r="BTS160" s="1"/>
      <c r="BTT160" s="1"/>
      <c r="BTU160" s="1"/>
      <c r="BTV160" s="2"/>
      <c r="BTW160" s="2"/>
      <c r="BTX160" s="14"/>
      <c r="BUI160" s="1"/>
      <c r="BUJ160" s="1"/>
      <c r="BUK160" s="1"/>
      <c r="BUL160" s="2"/>
      <c r="BUM160" s="2"/>
      <c r="BUN160" s="14"/>
      <c r="BUY160" s="1"/>
      <c r="BUZ160" s="1"/>
      <c r="BVA160" s="1"/>
      <c r="BVB160" s="2"/>
      <c r="BVC160" s="2"/>
      <c r="BVD160" s="14"/>
      <c r="BVO160" s="1"/>
      <c r="BVP160" s="1"/>
      <c r="BVQ160" s="1"/>
      <c r="BVR160" s="2"/>
      <c r="BVS160" s="2"/>
      <c r="BVT160" s="14"/>
      <c r="BWE160" s="1"/>
      <c r="BWF160" s="1"/>
      <c r="BWG160" s="1"/>
      <c r="BWH160" s="2"/>
      <c r="BWI160" s="2"/>
      <c r="BWJ160" s="14"/>
      <c r="BWU160" s="1"/>
      <c r="BWV160" s="1"/>
      <c r="BWW160" s="1"/>
      <c r="BWX160" s="2"/>
      <c r="BWY160" s="2"/>
      <c r="BWZ160" s="14"/>
      <c r="BXK160" s="1"/>
      <c r="BXL160" s="1"/>
      <c r="BXM160" s="1"/>
      <c r="BXN160" s="2"/>
      <c r="BXO160" s="2"/>
      <c r="BXP160" s="14"/>
      <c r="BYA160" s="1"/>
      <c r="BYB160" s="1"/>
      <c r="BYC160" s="1"/>
      <c r="BYD160" s="2"/>
      <c r="BYE160" s="2"/>
      <c r="BYF160" s="14"/>
      <c r="BYQ160" s="1"/>
      <c r="BYR160" s="1"/>
      <c r="BYS160" s="1"/>
      <c r="BYT160" s="2"/>
      <c r="BYU160" s="2"/>
      <c r="BYV160" s="14"/>
      <c r="BZG160" s="1"/>
      <c r="BZH160" s="1"/>
      <c r="BZI160" s="1"/>
      <c r="BZJ160" s="2"/>
      <c r="BZK160" s="2"/>
      <c r="BZL160" s="14"/>
      <c r="BZW160" s="1"/>
      <c r="BZX160" s="1"/>
      <c r="BZY160" s="1"/>
      <c r="BZZ160" s="2"/>
      <c r="CAA160" s="2"/>
      <c r="CAB160" s="14"/>
      <c r="CAM160" s="1"/>
      <c r="CAN160" s="1"/>
      <c r="CAO160" s="1"/>
      <c r="CAP160" s="2"/>
      <c r="CAQ160" s="2"/>
      <c r="CAR160" s="14"/>
      <c r="CBC160" s="1"/>
      <c r="CBD160" s="1"/>
      <c r="CBE160" s="1"/>
      <c r="CBF160" s="2"/>
      <c r="CBG160" s="2"/>
      <c r="CBH160" s="14"/>
      <c r="CBS160" s="1"/>
      <c r="CBT160" s="1"/>
      <c r="CBU160" s="1"/>
      <c r="CBV160" s="2"/>
      <c r="CBW160" s="2"/>
      <c r="CBX160" s="14"/>
      <c r="CCI160" s="1"/>
      <c r="CCJ160" s="1"/>
      <c r="CCK160" s="1"/>
      <c r="CCL160" s="2"/>
      <c r="CCM160" s="2"/>
      <c r="CCN160" s="14"/>
      <c r="CCY160" s="1"/>
      <c r="CCZ160" s="1"/>
      <c r="CDA160" s="1"/>
      <c r="CDB160" s="2"/>
      <c r="CDC160" s="2"/>
      <c r="CDD160" s="14"/>
      <c r="CDO160" s="1"/>
      <c r="CDP160" s="1"/>
      <c r="CDQ160" s="1"/>
      <c r="CDR160" s="2"/>
      <c r="CDS160" s="2"/>
      <c r="CDT160" s="14"/>
      <c r="CEE160" s="1"/>
      <c r="CEF160" s="1"/>
      <c r="CEG160" s="1"/>
      <c r="CEH160" s="2"/>
      <c r="CEI160" s="2"/>
      <c r="CEJ160" s="14"/>
      <c r="CEU160" s="1"/>
      <c r="CEV160" s="1"/>
      <c r="CEW160" s="1"/>
      <c r="CEX160" s="2"/>
      <c r="CEY160" s="2"/>
      <c r="CEZ160" s="14"/>
      <c r="CFK160" s="1"/>
      <c r="CFL160" s="1"/>
      <c r="CFM160" s="1"/>
      <c r="CFN160" s="2"/>
      <c r="CFO160" s="2"/>
      <c r="CFP160" s="14"/>
      <c r="CGA160" s="1"/>
      <c r="CGB160" s="1"/>
      <c r="CGC160" s="1"/>
      <c r="CGD160" s="2"/>
      <c r="CGE160" s="2"/>
      <c r="CGF160" s="14"/>
      <c r="CGQ160" s="1"/>
      <c r="CGR160" s="1"/>
      <c r="CGS160" s="1"/>
      <c r="CGT160" s="2"/>
      <c r="CGU160" s="2"/>
      <c r="CGV160" s="14"/>
      <c r="CHG160" s="1"/>
      <c r="CHH160" s="1"/>
      <c r="CHI160" s="1"/>
      <c r="CHJ160" s="2"/>
      <c r="CHK160" s="2"/>
      <c r="CHL160" s="14"/>
      <c r="CHW160" s="1"/>
      <c r="CHX160" s="1"/>
      <c r="CHY160" s="1"/>
      <c r="CHZ160" s="2"/>
      <c r="CIA160" s="2"/>
      <c r="CIB160" s="14"/>
      <c r="CIM160" s="1"/>
      <c r="CIN160" s="1"/>
      <c r="CIO160" s="1"/>
      <c r="CIP160" s="2"/>
      <c r="CIQ160" s="2"/>
      <c r="CIR160" s="14"/>
      <c r="CJC160" s="1"/>
      <c r="CJD160" s="1"/>
      <c r="CJE160" s="1"/>
      <c r="CJF160" s="2"/>
      <c r="CJG160" s="2"/>
      <c r="CJH160" s="14"/>
      <c r="CJS160" s="1"/>
      <c r="CJT160" s="1"/>
      <c r="CJU160" s="1"/>
      <c r="CJV160" s="2"/>
      <c r="CJW160" s="2"/>
      <c r="CJX160" s="14"/>
      <c r="CKI160" s="1"/>
      <c r="CKJ160" s="1"/>
      <c r="CKK160" s="1"/>
      <c r="CKL160" s="2"/>
      <c r="CKM160" s="2"/>
      <c r="CKN160" s="14"/>
      <c r="CKY160" s="1"/>
      <c r="CKZ160" s="1"/>
      <c r="CLA160" s="1"/>
      <c r="CLB160" s="2"/>
      <c r="CLC160" s="2"/>
      <c r="CLD160" s="14"/>
      <c r="CLO160" s="1"/>
      <c r="CLP160" s="1"/>
      <c r="CLQ160" s="1"/>
      <c r="CLR160" s="2"/>
      <c r="CLS160" s="2"/>
      <c r="CLT160" s="14"/>
      <c r="CME160" s="1"/>
      <c r="CMF160" s="1"/>
      <c r="CMG160" s="1"/>
      <c r="CMH160" s="2"/>
      <c r="CMI160" s="2"/>
      <c r="CMJ160" s="14"/>
      <c r="CMU160" s="1"/>
      <c r="CMV160" s="1"/>
      <c r="CMW160" s="1"/>
      <c r="CMX160" s="2"/>
      <c r="CMY160" s="2"/>
      <c r="CMZ160" s="14"/>
      <c r="CNK160" s="1"/>
      <c r="CNL160" s="1"/>
      <c r="CNM160" s="1"/>
      <c r="CNN160" s="2"/>
      <c r="CNO160" s="2"/>
      <c r="CNP160" s="14"/>
      <c r="COA160" s="1"/>
      <c r="COB160" s="1"/>
      <c r="COC160" s="1"/>
      <c r="COD160" s="2"/>
      <c r="COE160" s="2"/>
      <c r="COF160" s="14"/>
      <c r="COQ160" s="1"/>
      <c r="COR160" s="1"/>
      <c r="COS160" s="1"/>
      <c r="COT160" s="2"/>
      <c r="COU160" s="2"/>
      <c r="COV160" s="14"/>
      <c r="CPG160" s="1"/>
      <c r="CPH160" s="1"/>
      <c r="CPI160" s="1"/>
      <c r="CPJ160" s="2"/>
      <c r="CPK160" s="2"/>
      <c r="CPL160" s="14"/>
      <c r="CPW160" s="1"/>
      <c r="CPX160" s="1"/>
      <c r="CPY160" s="1"/>
      <c r="CPZ160" s="2"/>
      <c r="CQA160" s="2"/>
      <c r="CQB160" s="14"/>
      <c r="CQM160" s="1"/>
      <c r="CQN160" s="1"/>
      <c r="CQO160" s="1"/>
      <c r="CQP160" s="2"/>
      <c r="CQQ160" s="2"/>
      <c r="CQR160" s="14"/>
      <c r="CRC160" s="1"/>
      <c r="CRD160" s="1"/>
      <c r="CRE160" s="1"/>
      <c r="CRF160" s="2"/>
      <c r="CRG160" s="2"/>
      <c r="CRH160" s="14"/>
      <c r="CRS160" s="1"/>
      <c r="CRT160" s="1"/>
      <c r="CRU160" s="1"/>
      <c r="CRV160" s="2"/>
      <c r="CRW160" s="2"/>
      <c r="CRX160" s="14"/>
      <c r="CSI160" s="1"/>
      <c r="CSJ160" s="1"/>
      <c r="CSK160" s="1"/>
      <c r="CSL160" s="2"/>
      <c r="CSM160" s="2"/>
      <c r="CSN160" s="14"/>
      <c r="CSY160" s="1"/>
      <c r="CSZ160" s="1"/>
      <c r="CTA160" s="1"/>
      <c r="CTB160" s="2"/>
      <c r="CTC160" s="2"/>
      <c r="CTD160" s="14"/>
      <c r="CTO160" s="1"/>
      <c r="CTP160" s="1"/>
      <c r="CTQ160" s="1"/>
      <c r="CTR160" s="2"/>
      <c r="CTS160" s="2"/>
      <c r="CTT160" s="14"/>
      <c r="CUE160" s="1"/>
      <c r="CUF160" s="1"/>
      <c r="CUG160" s="1"/>
      <c r="CUH160" s="2"/>
      <c r="CUI160" s="2"/>
      <c r="CUJ160" s="14"/>
      <c r="CUU160" s="1"/>
      <c r="CUV160" s="1"/>
      <c r="CUW160" s="1"/>
      <c r="CUX160" s="2"/>
      <c r="CUY160" s="2"/>
      <c r="CUZ160" s="14"/>
      <c r="CVK160" s="1"/>
      <c r="CVL160" s="1"/>
      <c r="CVM160" s="1"/>
      <c r="CVN160" s="2"/>
      <c r="CVO160" s="2"/>
      <c r="CVP160" s="14"/>
      <c r="CWA160" s="1"/>
      <c r="CWB160" s="1"/>
      <c r="CWC160" s="1"/>
      <c r="CWD160" s="2"/>
      <c r="CWE160" s="2"/>
      <c r="CWF160" s="14"/>
      <c r="CWQ160" s="1"/>
      <c r="CWR160" s="1"/>
      <c r="CWS160" s="1"/>
      <c r="CWT160" s="2"/>
      <c r="CWU160" s="2"/>
      <c r="CWV160" s="14"/>
      <c r="CXG160" s="1"/>
      <c r="CXH160" s="1"/>
      <c r="CXI160" s="1"/>
      <c r="CXJ160" s="2"/>
      <c r="CXK160" s="2"/>
      <c r="CXL160" s="14"/>
      <c r="CXW160" s="1"/>
      <c r="CXX160" s="1"/>
      <c r="CXY160" s="1"/>
      <c r="CXZ160" s="2"/>
      <c r="CYA160" s="2"/>
      <c r="CYB160" s="14"/>
      <c r="CYM160" s="1"/>
      <c r="CYN160" s="1"/>
      <c r="CYO160" s="1"/>
      <c r="CYP160" s="2"/>
      <c r="CYQ160" s="2"/>
      <c r="CYR160" s="14"/>
      <c r="CZC160" s="1"/>
      <c r="CZD160" s="1"/>
      <c r="CZE160" s="1"/>
      <c r="CZF160" s="2"/>
      <c r="CZG160" s="2"/>
      <c r="CZH160" s="14"/>
      <c r="CZS160" s="1"/>
      <c r="CZT160" s="1"/>
      <c r="CZU160" s="1"/>
      <c r="CZV160" s="2"/>
      <c r="CZW160" s="2"/>
      <c r="CZX160" s="14"/>
      <c r="DAI160" s="1"/>
      <c r="DAJ160" s="1"/>
      <c r="DAK160" s="1"/>
      <c r="DAL160" s="2"/>
      <c r="DAM160" s="2"/>
      <c r="DAN160" s="14"/>
      <c r="DAY160" s="1"/>
      <c r="DAZ160" s="1"/>
      <c r="DBA160" s="1"/>
      <c r="DBB160" s="2"/>
      <c r="DBC160" s="2"/>
      <c r="DBD160" s="14"/>
      <c r="DBO160" s="1"/>
      <c r="DBP160" s="1"/>
      <c r="DBQ160" s="1"/>
      <c r="DBR160" s="2"/>
      <c r="DBS160" s="2"/>
      <c r="DBT160" s="14"/>
      <c r="DCE160" s="1"/>
      <c r="DCF160" s="1"/>
      <c r="DCG160" s="1"/>
      <c r="DCH160" s="2"/>
      <c r="DCI160" s="2"/>
      <c r="DCJ160" s="14"/>
      <c r="DCU160" s="1"/>
      <c r="DCV160" s="1"/>
      <c r="DCW160" s="1"/>
      <c r="DCX160" s="2"/>
      <c r="DCY160" s="2"/>
      <c r="DCZ160" s="14"/>
      <c r="DDK160" s="1"/>
      <c r="DDL160" s="1"/>
      <c r="DDM160" s="1"/>
      <c r="DDN160" s="2"/>
      <c r="DDO160" s="2"/>
      <c r="DDP160" s="14"/>
      <c r="DEA160" s="1"/>
      <c r="DEB160" s="1"/>
      <c r="DEC160" s="1"/>
      <c r="DED160" s="2"/>
      <c r="DEE160" s="2"/>
      <c r="DEF160" s="14"/>
      <c r="DEQ160" s="1"/>
      <c r="DER160" s="1"/>
      <c r="DES160" s="1"/>
      <c r="DET160" s="2"/>
      <c r="DEU160" s="2"/>
      <c r="DEV160" s="14"/>
      <c r="DFG160" s="1"/>
      <c r="DFH160" s="1"/>
      <c r="DFI160" s="1"/>
      <c r="DFJ160" s="2"/>
      <c r="DFK160" s="2"/>
      <c r="DFL160" s="14"/>
      <c r="DFW160" s="1"/>
      <c r="DFX160" s="1"/>
      <c r="DFY160" s="1"/>
      <c r="DFZ160" s="2"/>
      <c r="DGA160" s="2"/>
      <c r="DGB160" s="14"/>
      <c r="DGM160" s="1"/>
      <c r="DGN160" s="1"/>
      <c r="DGO160" s="1"/>
      <c r="DGP160" s="2"/>
      <c r="DGQ160" s="2"/>
      <c r="DGR160" s="14"/>
      <c r="DHC160" s="1"/>
      <c r="DHD160" s="1"/>
      <c r="DHE160" s="1"/>
      <c r="DHF160" s="2"/>
      <c r="DHG160" s="2"/>
      <c r="DHH160" s="14"/>
      <c r="DHS160" s="1"/>
      <c r="DHT160" s="1"/>
      <c r="DHU160" s="1"/>
      <c r="DHV160" s="2"/>
      <c r="DHW160" s="2"/>
      <c r="DHX160" s="14"/>
      <c r="DII160" s="1"/>
      <c r="DIJ160" s="1"/>
      <c r="DIK160" s="1"/>
      <c r="DIL160" s="2"/>
      <c r="DIM160" s="2"/>
      <c r="DIN160" s="14"/>
      <c r="DIY160" s="1"/>
      <c r="DIZ160" s="1"/>
      <c r="DJA160" s="1"/>
      <c r="DJB160" s="2"/>
      <c r="DJC160" s="2"/>
      <c r="DJD160" s="14"/>
      <c r="DJO160" s="1"/>
      <c r="DJP160" s="1"/>
      <c r="DJQ160" s="1"/>
      <c r="DJR160" s="2"/>
      <c r="DJS160" s="2"/>
      <c r="DJT160" s="14"/>
      <c r="DKE160" s="1"/>
      <c r="DKF160" s="1"/>
      <c r="DKG160" s="1"/>
      <c r="DKH160" s="2"/>
      <c r="DKI160" s="2"/>
      <c r="DKJ160" s="14"/>
      <c r="DKU160" s="1"/>
      <c r="DKV160" s="1"/>
      <c r="DKW160" s="1"/>
      <c r="DKX160" s="2"/>
      <c r="DKY160" s="2"/>
      <c r="DKZ160" s="14"/>
      <c r="DLK160" s="1"/>
      <c r="DLL160" s="1"/>
      <c r="DLM160" s="1"/>
      <c r="DLN160" s="2"/>
      <c r="DLO160" s="2"/>
      <c r="DLP160" s="14"/>
      <c r="DMA160" s="1"/>
      <c r="DMB160" s="1"/>
      <c r="DMC160" s="1"/>
      <c r="DMD160" s="2"/>
      <c r="DME160" s="2"/>
      <c r="DMF160" s="14"/>
      <c r="DMQ160" s="1"/>
      <c r="DMR160" s="1"/>
      <c r="DMS160" s="1"/>
      <c r="DMT160" s="2"/>
      <c r="DMU160" s="2"/>
      <c r="DMV160" s="14"/>
      <c r="DNG160" s="1"/>
      <c r="DNH160" s="1"/>
      <c r="DNI160" s="1"/>
      <c r="DNJ160" s="2"/>
      <c r="DNK160" s="2"/>
      <c r="DNL160" s="14"/>
      <c r="DNW160" s="1"/>
      <c r="DNX160" s="1"/>
      <c r="DNY160" s="1"/>
      <c r="DNZ160" s="2"/>
      <c r="DOA160" s="2"/>
      <c r="DOB160" s="14"/>
      <c r="DOM160" s="1"/>
      <c r="DON160" s="1"/>
      <c r="DOO160" s="1"/>
      <c r="DOP160" s="2"/>
      <c r="DOQ160" s="2"/>
      <c r="DOR160" s="14"/>
      <c r="DPC160" s="1"/>
      <c r="DPD160" s="1"/>
      <c r="DPE160" s="1"/>
      <c r="DPF160" s="2"/>
      <c r="DPG160" s="2"/>
      <c r="DPH160" s="14"/>
      <c r="DPS160" s="1"/>
      <c r="DPT160" s="1"/>
      <c r="DPU160" s="1"/>
      <c r="DPV160" s="2"/>
      <c r="DPW160" s="2"/>
      <c r="DPX160" s="14"/>
      <c r="DQI160" s="1"/>
      <c r="DQJ160" s="1"/>
      <c r="DQK160" s="1"/>
      <c r="DQL160" s="2"/>
      <c r="DQM160" s="2"/>
      <c r="DQN160" s="14"/>
      <c r="DQY160" s="1"/>
      <c r="DQZ160" s="1"/>
      <c r="DRA160" s="1"/>
      <c r="DRB160" s="2"/>
      <c r="DRC160" s="2"/>
      <c r="DRD160" s="14"/>
      <c r="DRO160" s="1"/>
      <c r="DRP160" s="1"/>
      <c r="DRQ160" s="1"/>
      <c r="DRR160" s="2"/>
      <c r="DRS160" s="2"/>
      <c r="DRT160" s="14"/>
      <c r="DSE160" s="1"/>
      <c r="DSF160" s="1"/>
      <c r="DSG160" s="1"/>
      <c r="DSH160" s="2"/>
      <c r="DSI160" s="2"/>
      <c r="DSJ160" s="14"/>
      <c r="DSU160" s="1"/>
      <c r="DSV160" s="1"/>
      <c r="DSW160" s="1"/>
      <c r="DSX160" s="2"/>
      <c r="DSY160" s="2"/>
      <c r="DSZ160" s="14"/>
      <c r="DTK160" s="1"/>
      <c r="DTL160" s="1"/>
      <c r="DTM160" s="1"/>
      <c r="DTN160" s="2"/>
      <c r="DTO160" s="2"/>
      <c r="DTP160" s="14"/>
      <c r="DUA160" s="1"/>
      <c r="DUB160" s="1"/>
      <c r="DUC160" s="1"/>
      <c r="DUD160" s="2"/>
      <c r="DUE160" s="2"/>
      <c r="DUF160" s="14"/>
      <c r="DUQ160" s="1"/>
      <c r="DUR160" s="1"/>
      <c r="DUS160" s="1"/>
      <c r="DUT160" s="2"/>
      <c r="DUU160" s="2"/>
      <c r="DUV160" s="14"/>
      <c r="DVG160" s="1"/>
      <c r="DVH160" s="1"/>
      <c r="DVI160" s="1"/>
      <c r="DVJ160" s="2"/>
      <c r="DVK160" s="2"/>
      <c r="DVL160" s="14"/>
      <c r="DVW160" s="1"/>
      <c r="DVX160" s="1"/>
      <c r="DVY160" s="1"/>
      <c r="DVZ160" s="2"/>
      <c r="DWA160" s="2"/>
      <c r="DWB160" s="14"/>
      <c r="DWM160" s="1"/>
      <c r="DWN160" s="1"/>
      <c r="DWO160" s="1"/>
      <c r="DWP160" s="2"/>
      <c r="DWQ160" s="2"/>
      <c r="DWR160" s="14"/>
      <c r="DXC160" s="1"/>
      <c r="DXD160" s="1"/>
      <c r="DXE160" s="1"/>
      <c r="DXF160" s="2"/>
      <c r="DXG160" s="2"/>
      <c r="DXH160" s="14"/>
      <c r="DXS160" s="1"/>
      <c r="DXT160" s="1"/>
      <c r="DXU160" s="1"/>
      <c r="DXV160" s="2"/>
      <c r="DXW160" s="2"/>
      <c r="DXX160" s="14"/>
      <c r="DYI160" s="1"/>
      <c r="DYJ160" s="1"/>
      <c r="DYK160" s="1"/>
      <c r="DYL160" s="2"/>
      <c r="DYM160" s="2"/>
      <c r="DYN160" s="14"/>
      <c r="DYY160" s="1"/>
      <c r="DYZ160" s="1"/>
      <c r="DZA160" s="1"/>
      <c r="DZB160" s="2"/>
      <c r="DZC160" s="2"/>
      <c r="DZD160" s="14"/>
      <c r="DZO160" s="1"/>
      <c r="DZP160" s="1"/>
      <c r="DZQ160" s="1"/>
      <c r="DZR160" s="2"/>
      <c r="DZS160" s="2"/>
      <c r="DZT160" s="14"/>
      <c r="EAE160" s="1"/>
      <c r="EAF160" s="1"/>
      <c r="EAG160" s="1"/>
      <c r="EAH160" s="2"/>
      <c r="EAI160" s="2"/>
      <c r="EAJ160" s="14"/>
      <c r="EAU160" s="1"/>
      <c r="EAV160" s="1"/>
      <c r="EAW160" s="1"/>
      <c r="EAX160" s="2"/>
      <c r="EAY160" s="2"/>
      <c r="EAZ160" s="14"/>
      <c r="EBK160" s="1"/>
      <c r="EBL160" s="1"/>
      <c r="EBM160" s="1"/>
      <c r="EBN160" s="2"/>
      <c r="EBO160" s="2"/>
      <c r="EBP160" s="14"/>
      <c r="ECA160" s="1"/>
      <c r="ECB160" s="1"/>
      <c r="ECC160" s="1"/>
      <c r="ECD160" s="2"/>
      <c r="ECE160" s="2"/>
      <c r="ECF160" s="14"/>
      <c r="ECQ160" s="1"/>
      <c r="ECR160" s="1"/>
      <c r="ECS160" s="1"/>
      <c r="ECT160" s="2"/>
      <c r="ECU160" s="2"/>
      <c r="ECV160" s="14"/>
      <c r="EDG160" s="1"/>
      <c r="EDH160" s="1"/>
      <c r="EDI160" s="1"/>
      <c r="EDJ160" s="2"/>
      <c r="EDK160" s="2"/>
      <c r="EDL160" s="14"/>
      <c r="EDW160" s="1"/>
      <c r="EDX160" s="1"/>
      <c r="EDY160" s="1"/>
      <c r="EDZ160" s="2"/>
      <c r="EEA160" s="2"/>
      <c r="EEB160" s="14"/>
      <c r="EEM160" s="1"/>
      <c r="EEN160" s="1"/>
      <c r="EEO160" s="1"/>
      <c r="EEP160" s="2"/>
      <c r="EEQ160" s="2"/>
      <c r="EER160" s="14"/>
      <c r="EFC160" s="1"/>
      <c r="EFD160" s="1"/>
      <c r="EFE160" s="1"/>
      <c r="EFF160" s="2"/>
      <c r="EFG160" s="2"/>
      <c r="EFH160" s="14"/>
      <c r="EFS160" s="1"/>
      <c r="EFT160" s="1"/>
      <c r="EFU160" s="1"/>
      <c r="EFV160" s="2"/>
      <c r="EFW160" s="2"/>
      <c r="EFX160" s="14"/>
      <c r="EGI160" s="1"/>
      <c r="EGJ160" s="1"/>
      <c r="EGK160" s="1"/>
      <c r="EGL160" s="2"/>
      <c r="EGM160" s="2"/>
      <c r="EGN160" s="14"/>
      <c r="EGY160" s="1"/>
      <c r="EGZ160" s="1"/>
      <c r="EHA160" s="1"/>
      <c r="EHB160" s="2"/>
      <c r="EHC160" s="2"/>
      <c r="EHD160" s="14"/>
      <c r="EHO160" s="1"/>
      <c r="EHP160" s="1"/>
      <c r="EHQ160" s="1"/>
      <c r="EHR160" s="2"/>
      <c r="EHS160" s="2"/>
      <c r="EHT160" s="14"/>
      <c r="EIE160" s="1"/>
      <c r="EIF160" s="1"/>
      <c r="EIG160" s="1"/>
      <c r="EIH160" s="2"/>
      <c r="EII160" s="2"/>
      <c r="EIJ160" s="14"/>
      <c r="EIU160" s="1"/>
      <c r="EIV160" s="1"/>
      <c r="EIW160" s="1"/>
      <c r="EIX160" s="2"/>
      <c r="EIY160" s="2"/>
      <c r="EIZ160" s="14"/>
      <c r="EJK160" s="1"/>
      <c r="EJL160" s="1"/>
      <c r="EJM160" s="1"/>
      <c r="EJN160" s="2"/>
      <c r="EJO160" s="2"/>
      <c r="EJP160" s="14"/>
      <c r="EKA160" s="1"/>
      <c r="EKB160" s="1"/>
      <c r="EKC160" s="1"/>
      <c r="EKD160" s="2"/>
      <c r="EKE160" s="2"/>
      <c r="EKF160" s="14"/>
      <c r="EKQ160" s="1"/>
      <c r="EKR160" s="1"/>
      <c r="EKS160" s="1"/>
      <c r="EKT160" s="2"/>
      <c r="EKU160" s="2"/>
      <c r="EKV160" s="14"/>
      <c r="ELG160" s="1"/>
      <c r="ELH160" s="1"/>
      <c r="ELI160" s="1"/>
      <c r="ELJ160" s="2"/>
      <c r="ELK160" s="2"/>
      <c r="ELL160" s="14"/>
      <c r="ELW160" s="1"/>
      <c r="ELX160" s="1"/>
      <c r="ELY160" s="1"/>
      <c r="ELZ160" s="2"/>
      <c r="EMA160" s="2"/>
      <c r="EMB160" s="14"/>
      <c r="EMM160" s="1"/>
      <c r="EMN160" s="1"/>
      <c r="EMO160" s="1"/>
      <c r="EMP160" s="2"/>
      <c r="EMQ160" s="2"/>
      <c r="EMR160" s="14"/>
      <c r="ENC160" s="1"/>
      <c r="END160" s="1"/>
      <c r="ENE160" s="1"/>
      <c r="ENF160" s="2"/>
      <c r="ENG160" s="2"/>
      <c r="ENH160" s="14"/>
      <c r="ENS160" s="1"/>
      <c r="ENT160" s="1"/>
      <c r="ENU160" s="1"/>
      <c r="ENV160" s="2"/>
      <c r="ENW160" s="2"/>
      <c r="ENX160" s="14"/>
      <c r="EOI160" s="1"/>
      <c r="EOJ160" s="1"/>
      <c r="EOK160" s="1"/>
      <c r="EOL160" s="2"/>
      <c r="EOM160" s="2"/>
      <c r="EON160" s="14"/>
      <c r="EOY160" s="1"/>
      <c r="EOZ160" s="1"/>
      <c r="EPA160" s="1"/>
      <c r="EPB160" s="2"/>
      <c r="EPC160" s="2"/>
      <c r="EPD160" s="14"/>
      <c r="EPO160" s="1"/>
      <c r="EPP160" s="1"/>
      <c r="EPQ160" s="1"/>
      <c r="EPR160" s="2"/>
      <c r="EPS160" s="2"/>
      <c r="EPT160" s="14"/>
      <c r="EQE160" s="1"/>
      <c r="EQF160" s="1"/>
      <c r="EQG160" s="1"/>
      <c r="EQH160" s="2"/>
      <c r="EQI160" s="2"/>
      <c r="EQJ160" s="14"/>
      <c r="EQU160" s="1"/>
      <c r="EQV160" s="1"/>
      <c r="EQW160" s="1"/>
      <c r="EQX160" s="2"/>
      <c r="EQY160" s="2"/>
      <c r="EQZ160" s="14"/>
      <c r="ERK160" s="1"/>
      <c r="ERL160" s="1"/>
      <c r="ERM160" s="1"/>
      <c r="ERN160" s="2"/>
      <c r="ERO160" s="2"/>
      <c r="ERP160" s="14"/>
      <c r="ESA160" s="1"/>
      <c r="ESB160" s="1"/>
      <c r="ESC160" s="1"/>
      <c r="ESD160" s="2"/>
      <c r="ESE160" s="2"/>
      <c r="ESF160" s="14"/>
      <c r="ESQ160" s="1"/>
      <c r="ESR160" s="1"/>
      <c r="ESS160" s="1"/>
      <c r="EST160" s="2"/>
      <c r="ESU160" s="2"/>
      <c r="ESV160" s="14"/>
      <c r="ETG160" s="1"/>
      <c r="ETH160" s="1"/>
      <c r="ETI160" s="1"/>
      <c r="ETJ160" s="2"/>
      <c r="ETK160" s="2"/>
      <c r="ETL160" s="14"/>
      <c r="ETW160" s="1"/>
      <c r="ETX160" s="1"/>
      <c r="ETY160" s="1"/>
      <c r="ETZ160" s="2"/>
      <c r="EUA160" s="2"/>
      <c r="EUB160" s="14"/>
      <c r="EUM160" s="1"/>
      <c r="EUN160" s="1"/>
      <c r="EUO160" s="1"/>
      <c r="EUP160" s="2"/>
      <c r="EUQ160" s="2"/>
      <c r="EUR160" s="14"/>
      <c r="EVC160" s="1"/>
      <c r="EVD160" s="1"/>
      <c r="EVE160" s="1"/>
      <c r="EVF160" s="2"/>
      <c r="EVG160" s="2"/>
      <c r="EVH160" s="14"/>
      <c r="EVS160" s="1"/>
      <c r="EVT160" s="1"/>
      <c r="EVU160" s="1"/>
      <c r="EVV160" s="2"/>
      <c r="EVW160" s="2"/>
      <c r="EVX160" s="14"/>
      <c r="EWI160" s="1"/>
      <c r="EWJ160" s="1"/>
      <c r="EWK160" s="1"/>
      <c r="EWL160" s="2"/>
      <c r="EWM160" s="2"/>
      <c r="EWN160" s="14"/>
      <c r="EWY160" s="1"/>
      <c r="EWZ160" s="1"/>
      <c r="EXA160" s="1"/>
      <c r="EXB160" s="2"/>
      <c r="EXC160" s="2"/>
      <c r="EXD160" s="14"/>
      <c r="EXO160" s="1"/>
      <c r="EXP160" s="1"/>
      <c r="EXQ160" s="1"/>
      <c r="EXR160" s="2"/>
      <c r="EXS160" s="2"/>
      <c r="EXT160" s="14"/>
      <c r="EYE160" s="1"/>
      <c r="EYF160" s="1"/>
      <c r="EYG160" s="1"/>
      <c r="EYH160" s="2"/>
      <c r="EYI160" s="2"/>
      <c r="EYJ160" s="14"/>
      <c r="EYU160" s="1"/>
      <c r="EYV160" s="1"/>
      <c r="EYW160" s="1"/>
      <c r="EYX160" s="2"/>
      <c r="EYY160" s="2"/>
      <c r="EYZ160" s="14"/>
      <c r="EZK160" s="1"/>
      <c r="EZL160" s="1"/>
      <c r="EZM160" s="1"/>
      <c r="EZN160" s="2"/>
      <c r="EZO160" s="2"/>
      <c r="EZP160" s="14"/>
      <c r="FAA160" s="1"/>
      <c r="FAB160" s="1"/>
      <c r="FAC160" s="1"/>
      <c r="FAD160" s="2"/>
      <c r="FAE160" s="2"/>
      <c r="FAF160" s="14"/>
      <c r="FAQ160" s="1"/>
      <c r="FAR160" s="1"/>
      <c r="FAS160" s="1"/>
      <c r="FAT160" s="2"/>
      <c r="FAU160" s="2"/>
      <c r="FAV160" s="14"/>
      <c r="FBG160" s="1"/>
      <c r="FBH160" s="1"/>
      <c r="FBI160" s="1"/>
      <c r="FBJ160" s="2"/>
      <c r="FBK160" s="2"/>
      <c r="FBL160" s="14"/>
      <c r="FBW160" s="1"/>
      <c r="FBX160" s="1"/>
      <c r="FBY160" s="1"/>
      <c r="FBZ160" s="2"/>
      <c r="FCA160" s="2"/>
      <c r="FCB160" s="14"/>
      <c r="FCM160" s="1"/>
      <c r="FCN160" s="1"/>
      <c r="FCO160" s="1"/>
      <c r="FCP160" s="2"/>
      <c r="FCQ160" s="2"/>
      <c r="FCR160" s="14"/>
      <c r="FDC160" s="1"/>
      <c r="FDD160" s="1"/>
      <c r="FDE160" s="1"/>
      <c r="FDF160" s="2"/>
      <c r="FDG160" s="2"/>
      <c r="FDH160" s="14"/>
      <c r="FDS160" s="1"/>
      <c r="FDT160" s="1"/>
      <c r="FDU160" s="1"/>
      <c r="FDV160" s="2"/>
      <c r="FDW160" s="2"/>
      <c r="FDX160" s="14"/>
      <c r="FEI160" s="1"/>
      <c r="FEJ160" s="1"/>
      <c r="FEK160" s="1"/>
      <c r="FEL160" s="2"/>
      <c r="FEM160" s="2"/>
      <c r="FEN160" s="14"/>
      <c r="FEY160" s="1"/>
      <c r="FEZ160" s="1"/>
      <c r="FFA160" s="1"/>
      <c r="FFB160" s="2"/>
      <c r="FFC160" s="2"/>
      <c r="FFD160" s="14"/>
      <c r="FFO160" s="1"/>
      <c r="FFP160" s="1"/>
      <c r="FFQ160" s="1"/>
      <c r="FFR160" s="2"/>
      <c r="FFS160" s="2"/>
      <c r="FFT160" s="14"/>
      <c r="FGE160" s="1"/>
      <c r="FGF160" s="1"/>
      <c r="FGG160" s="1"/>
      <c r="FGH160" s="2"/>
      <c r="FGI160" s="2"/>
      <c r="FGJ160" s="14"/>
      <c r="FGU160" s="1"/>
      <c r="FGV160" s="1"/>
      <c r="FGW160" s="1"/>
      <c r="FGX160" s="2"/>
      <c r="FGY160" s="2"/>
      <c r="FGZ160" s="14"/>
      <c r="FHK160" s="1"/>
      <c r="FHL160" s="1"/>
      <c r="FHM160" s="1"/>
      <c r="FHN160" s="2"/>
      <c r="FHO160" s="2"/>
      <c r="FHP160" s="14"/>
      <c r="FIA160" s="1"/>
      <c r="FIB160" s="1"/>
      <c r="FIC160" s="1"/>
      <c r="FID160" s="2"/>
      <c r="FIE160" s="2"/>
      <c r="FIF160" s="14"/>
      <c r="FIQ160" s="1"/>
      <c r="FIR160" s="1"/>
      <c r="FIS160" s="1"/>
      <c r="FIT160" s="2"/>
      <c r="FIU160" s="2"/>
      <c r="FIV160" s="14"/>
      <c r="FJG160" s="1"/>
      <c r="FJH160" s="1"/>
      <c r="FJI160" s="1"/>
      <c r="FJJ160" s="2"/>
      <c r="FJK160" s="2"/>
      <c r="FJL160" s="14"/>
      <c r="FJW160" s="1"/>
      <c r="FJX160" s="1"/>
      <c r="FJY160" s="1"/>
      <c r="FJZ160" s="2"/>
      <c r="FKA160" s="2"/>
      <c r="FKB160" s="14"/>
      <c r="FKM160" s="1"/>
      <c r="FKN160" s="1"/>
      <c r="FKO160" s="1"/>
      <c r="FKP160" s="2"/>
      <c r="FKQ160" s="2"/>
      <c r="FKR160" s="14"/>
      <c r="FLC160" s="1"/>
      <c r="FLD160" s="1"/>
      <c r="FLE160" s="1"/>
      <c r="FLF160" s="2"/>
      <c r="FLG160" s="2"/>
      <c r="FLH160" s="14"/>
      <c r="FLS160" s="1"/>
      <c r="FLT160" s="1"/>
      <c r="FLU160" s="1"/>
      <c r="FLV160" s="2"/>
      <c r="FLW160" s="2"/>
      <c r="FLX160" s="14"/>
      <c r="FMI160" s="1"/>
      <c r="FMJ160" s="1"/>
      <c r="FMK160" s="1"/>
      <c r="FML160" s="2"/>
      <c r="FMM160" s="2"/>
      <c r="FMN160" s="14"/>
      <c r="FMY160" s="1"/>
      <c r="FMZ160" s="1"/>
      <c r="FNA160" s="1"/>
      <c r="FNB160" s="2"/>
      <c r="FNC160" s="2"/>
      <c r="FND160" s="14"/>
      <c r="FNO160" s="1"/>
      <c r="FNP160" s="1"/>
      <c r="FNQ160" s="1"/>
      <c r="FNR160" s="2"/>
      <c r="FNS160" s="2"/>
      <c r="FNT160" s="14"/>
      <c r="FOE160" s="1"/>
      <c r="FOF160" s="1"/>
      <c r="FOG160" s="1"/>
      <c r="FOH160" s="2"/>
      <c r="FOI160" s="2"/>
      <c r="FOJ160" s="14"/>
      <c r="FOU160" s="1"/>
      <c r="FOV160" s="1"/>
      <c r="FOW160" s="1"/>
      <c r="FOX160" s="2"/>
      <c r="FOY160" s="2"/>
      <c r="FOZ160" s="14"/>
      <c r="FPK160" s="1"/>
      <c r="FPL160" s="1"/>
      <c r="FPM160" s="1"/>
      <c r="FPN160" s="2"/>
      <c r="FPO160" s="2"/>
      <c r="FPP160" s="14"/>
      <c r="FQA160" s="1"/>
      <c r="FQB160" s="1"/>
      <c r="FQC160" s="1"/>
      <c r="FQD160" s="2"/>
      <c r="FQE160" s="2"/>
      <c r="FQF160" s="14"/>
      <c r="FQQ160" s="1"/>
      <c r="FQR160" s="1"/>
      <c r="FQS160" s="1"/>
      <c r="FQT160" s="2"/>
      <c r="FQU160" s="2"/>
      <c r="FQV160" s="14"/>
      <c r="FRG160" s="1"/>
      <c r="FRH160" s="1"/>
      <c r="FRI160" s="1"/>
      <c r="FRJ160" s="2"/>
      <c r="FRK160" s="2"/>
      <c r="FRL160" s="14"/>
      <c r="FRW160" s="1"/>
      <c r="FRX160" s="1"/>
      <c r="FRY160" s="1"/>
      <c r="FRZ160" s="2"/>
      <c r="FSA160" s="2"/>
      <c r="FSB160" s="14"/>
      <c r="FSM160" s="1"/>
      <c r="FSN160" s="1"/>
      <c r="FSO160" s="1"/>
      <c r="FSP160" s="2"/>
      <c r="FSQ160" s="2"/>
      <c r="FSR160" s="14"/>
      <c r="FTC160" s="1"/>
      <c r="FTD160" s="1"/>
      <c r="FTE160" s="1"/>
      <c r="FTF160" s="2"/>
      <c r="FTG160" s="2"/>
      <c r="FTH160" s="14"/>
      <c r="FTS160" s="1"/>
      <c r="FTT160" s="1"/>
      <c r="FTU160" s="1"/>
      <c r="FTV160" s="2"/>
      <c r="FTW160" s="2"/>
      <c r="FTX160" s="14"/>
      <c r="FUI160" s="1"/>
      <c r="FUJ160" s="1"/>
      <c r="FUK160" s="1"/>
      <c r="FUL160" s="2"/>
      <c r="FUM160" s="2"/>
      <c r="FUN160" s="14"/>
      <c r="FUY160" s="1"/>
      <c r="FUZ160" s="1"/>
      <c r="FVA160" s="1"/>
      <c r="FVB160" s="2"/>
      <c r="FVC160" s="2"/>
      <c r="FVD160" s="14"/>
      <c r="FVO160" s="1"/>
      <c r="FVP160" s="1"/>
      <c r="FVQ160" s="1"/>
      <c r="FVR160" s="2"/>
      <c r="FVS160" s="2"/>
      <c r="FVT160" s="14"/>
      <c r="FWE160" s="1"/>
      <c r="FWF160" s="1"/>
      <c r="FWG160" s="1"/>
      <c r="FWH160" s="2"/>
      <c r="FWI160" s="2"/>
      <c r="FWJ160" s="14"/>
      <c r="FWU160" s="1"/>
      <c r="FWV160" s="1"/>
      <c r="FWW160" s="1"/>
      <c r="FWX160" s="2"/>
      <c r="FWY160" s="2"/>
      <c r="FWZ160" s="14"/>
      <c r="FXK160" s="1"/>
      <c r="FXL160" s="1"/>
      <c r="FXM160" s="1"/>
      <c r="FXN160" s="2"/>
      <c r="FXO160" s="2"/>
      <c r="FXP160" s="14"/>
      <c r="FYA160" s="1"/>
      <c r="FYB160" s="1"/>
      <c r="FYC160" s="1"/>
      <c r="FYD160" s="2"/>
      <c r="FYE160" s="2"/>
      <c r="FYF160" s="14"/>
      <c r="FYQ160" s="1"/>
      <c r="FYR160" s="1"/>
      <c r="FYS160" s="1"/>
      <c r="FYT160" s="2"/>
      <c r="FYU160" s="2"/>
      <c r="FYV160" s="14"/>
      <c r="FZG160" s="1"/>
      <c r="FZH160" s="1"/>
      <c r="FZI160" s="1"/>
      <c r="FZJ160" s="2"/>
      <c r="FZK160" s="2"/>
      <c r="FZL160" s="14"/>
      <c r="FZW160" s="1"/>
      <c r="FZX160" s="1"/>
      <c r="FZY160" s="1"/>
      <c r="FZZ160" s="2"/>
      <c r="GAA160" s="2"/>
      <c r="GAB160" s="14"/>
      <c r="GAM160" s="1"/>
      <c r="GAN160" s="1"/>
      <c r="GAO160" s="1"/>
      <c r="GAP160" s="2"/>
      <c r="GAQ160" s="2"/>
      <c r="GAR160" s="14"/>
      <c r="GBC160" s="1"/>
      <c r="GBD160" s="1"/>
      <c r="GBE160" s="1"/>
      <c r="GBF160" s="2"/>
      <c r="GBG160" s="2"/>
      <c r="GBH160" s="14"/>
      <c r="GBS160" s="1"/>
      <c r="GBT160" s="1"/>
      <c r="GBU160" s="1"/>
      <c r="GBV160" s="2"/>
      <c r="GBW160" s="2"/>
      <c r="GBX160" s="14"/>
      <c r="GCI160" s="1"/>
      <c r="GCJ160" s="1"/>
      <c r="GCK160" s="1"/>
      <c r="GCL160" s="2"/>
      <c r="GCM160" s="2"/>
      <c r="GCN160" s="14"/>
      <c r="GCY160" s="1"/>
      <c r="GCZ160" s="1"/>
      <c r="GDA160" s="1"/>
      <c r="GDB160" s="2"/>
      <c r="GDC160" s="2"/>
      <c r="GDD160" s="14"/>
      <c r="GDO160" s="1"/>
      <c r="GDP160" s="1"/>
      <c r="GDQ160" s="1"/>
      <c r="GDR160" s="2"/>
      <c r="GDS160" s="2"/>
      <c r="GDT160" s="14"/>
      <c r="GEE160" s="1"/>
      <c r="GEF160" s="1"/>
      <c r="GEG160" s="1"/>
      <c r="GEH160" s="2"/>
      <c r="GEI160" s="2"/>
      <c r="GEJ160" s="14"/>
      <c r="GEU160" s="1"/>
      <c r="GEV160" s="1"/>
      <c r="GEW160" s="1"/>
      <c r="GEX160" s="2"/>
      <c r="GEY160" s="2"/>
      <c r="GEZ160" s="14"/>
      <c r="GFK160" s="1"/>
      <c r="GFL160" s="1"/>
      <c r="GFM160" s="1"/>
      <c r="GFN160" s="2"/>
      <c r="GFO160" s="2"/>
      <c r="GFP160" s="14"/>
      <c r="GGA160" s="1"/>
      <c r="GGB160" s="1"/>
      <c r="GGC160" s="1"/>
      <c r="GGD160" s="2"/>
      <c r="GGE160" s="2"/>
      <c r="GGF160" s="14"/>
      <c r="GGQ160" s="1"/>
      <c r="GGR160" s="1"/>
      <c r="GGS160" s="1"/>
      <c r="GGT160" s="2"/>
      <c r="GGU160" s="2"/>
      <c r="GGV160" s="14"/>
      <c r="GHG160" s="1"/>
      <c r="GHH160" s="1"/>
      <c r="GHI160" s="1"/>
      <c r="GHJ160" s="2"/>
      <c r="GHK160" s="2"/>
      <c r="GHL160" s="14"/>
      <c r="GHW160" s="1"/>
      <c r="GHX160" s="1"/>
      <c r="GHY160" s="1"/>
      <c r="GHZ160" s="2"/>
      <c r="GIA160" s="2"/>
      <c r="GIB160" s="14"/>
      <c r="GIM160" s="1"/>
      <c r="GIN160" s="1"/>
      <c r="GIO160" s="1"/>
      <c r="GIP160" s="2"/>
      <c r="GIQ160" s="2"/>
      <c r="GIR160" s="14"/>
      <c r="GJC160" s="1"/>
      <c r="GJD160" s="1"/>
      <c r="GJE160" s="1"/>
      <c r="GJF160" s="2"/>
      <c r="GJG160" s="2"/>
      <c r="GJH160" s="14"/>
      <c r="GJS160" s="1"/>
      <c r="GJT160" s="1"/>
      <c r="GJU160" s="1"/>
      <c r="GJV160" s="2"/>
      <c r="GJW160" s="2"/>
      <c r="GJX160" s="14"/>
      <c r="GKI160" s="1"/>
      <c r="GKJ160" s="1"/>
      <c r="GKK160" s="1"/>
      <c r="GKL160" s="2"/>
      <c r="GKM160" s="2"/>
      <c r="GKN160" s="14"/>
      <c r="GKY160" s="1"/>
      <c r="GKZ160" s="1"/>
      <c r="GLA160" s="1"/>
      <c r="GLB160" s="2"/>
      <c r="GLC160" s="2"/>
      <c r="GLD160" s="14"/>
      <c r="GLO160" s="1"/>
      <c r="GLP160" s="1"/>
      <c r="GLQ160" s="1"/>
      <c r="GLR160" s="2"/>
      <c r="GLS160" s="2"/>
      <c r="GLT160" s="14"/>
      <c r="GME160" s="1"/>
      <c r="GMF160" s="1"/>
      <c r="GMG160" s="1"/>
      <c r="GMH160" s="2"/>
      <c r="GMI160" s="2"/>
      <c r="GMJ160" s="14"/>
      <c r="GMU160" s="1"/>
      <c r="GMV160" s="1"/>
      <c r="GMW160" s="1"/>
      <c r="GMX160" s="2"/>
      <c r="GMY160" s="2"/>
      <c r="GMZ160" s="14"/>
      <c r="GNK160" s="1"/>
      <c r="GNL160" s="1"/>
      <c r="GNM160" s="1"/>
      <c r="GNN160" s="2"/>
      <c r="GNO160" s="2"/>
      <c r="GNP160" s="14"/>
      <c r="GOA160" s="1"/>
      <c r="GOB160" s="1"/>
      <c r="GOC160" s="1"/>
      <c r="GOD160" s="2"/>
      <c r="GOE160" s="2"/>
      <c r="GOF160" s="14"/>
      <c r="GOQ160" s="1"/>
      <c r="GOR160" s="1"/>
      <c r="GOS160" s="1"/>
      <c r="GOT160" s="2"/>
      <c r="GOU160" s="2"/>
      <c r="GOV160" s="14"/>
      <c r="GPG160" s="1"/>
      <c r="GPH160" s="1"/>
      <c r="GPI160" s="1"/>
      <c r="GPJ160" s="2"/>
      <c r="GPK160" s="2"/>
      <c r="GPL160" s="14"/>
      <c r="GPW160" s="1"/>
      <c r="GPX160" s="1"/>
      <c r="GPY160" s="1"/>
      <c r="GPZ160" s="2"/>
      <c r="GQA160" s="2"/>
      <c r="GQB160" s="14"/>
      <c r="GQM160" s="1"/>
      <c r="GQN160" s="1"/>
      <c r="GQO160" s="1"/>
      <c r="GQP160" s="2"/>
      <c r="GQQ160" s="2"/>
      <c r="GQR160" s="14"/>
      <c r="GRC160" s="1"/>
      <c r="GRD160" s="1"/>
      <c r="GRE160" s="1"/>
      <c r="GRF160" s="2"/>
      <c r="GRG160" s="2"/>
      <c r="GRH160" s="14"/>
      <c r="GRS160" s="1"/>
      <c r="GRT160" s="1"/>
      <c r="GRU160" s="1"/>
      <c r="GRV160" s="2"/>
      <c r="GRW160" s="2"/>
      <c r="GRX160" s="14"/>
      <c r="GSI160" s="1"/>
      <c r="GSJ160" s="1"/>
      <c r="GSK160" s="1"/>
      <c r="GSL160" s="2"/>
      <c r="GSM160" s="2"/>
      <c r="GSN160" s="14"/>
      <c r="GSY160" s="1"/>
      <c r="GSZ160" s="1"/>
      <c r="GTA160" s="1"/>
      <c r="GTB160" s="2"/>
      <c r="GTC160" s="2"/>
      <c r="GTD160" s="14"/>
      <c r="GTO160" s="1"/>
      <c r="GTP160" s="1"/>
      <c r="GTQ160" s="1"/>
      <c r="GTR160" s="2"/>
      <c r="GTS160" s="2"/>
      <c r="GTT160" s="14"/>
      <c r="GUE160" s="1"/>
      <c r="GUF160" s="1"/>
      <c r="GUG160" s="1"/>
      <c r="GUH160" s="2"/>
      <c r="GUI160" s="2"/>
      <c r="GUJ160" s="14"/>
      <c r="GUU160" s="1"/>
      <c r="GUV160" s="1"/>
      <c r="GUW160" s="1"/>
      <c r="GUX160" s="2"/>
      <c r="GUY160" s="2"/>
      <c r="GUZ160" s="14"/>
      <c r="GVK160" s="1"/>
      <c r="GVL160" s="1"/>
      <c r="GVM160" s="1"/>
      <c r="GVN160" s="2"/>
      <c r="GVO160" s="2"/>
      <c r="GVP160" s="14"/>
      <c r="GWA160" s="1"/>
      <c r="GWB160" s="1"/>
      <c r="GWC160" s="1"/>
      <c r="GWD160" s="2"/>
      <c r="GWE160" s="2"/>
      <c r="GWF160" s="14"/>
      <c r="GWQ160" s="1"/>
      <c r="GWR160" s="1"/>
      <c r="GWS160" s="1"/>
      <c r="GWT160" s="2"/>
      <c r="GWU160" s="2"/>
      <c r="GWV160" s="14"/>
      <c r="GXG160" s="1"/>
      <c r="GXH160" s="1"/>
      <c r="GXI160" s="1"/>
      <c r="GXJ160" s="2"/>
      <c r="GXK160" s="2"/>
      <c r="GXL160" s="14"/>
      <c r="GXW160" s="1"/>
      <c r="GXX160" s="1"/>
      <c r="GXY160" s="1"/>
      <c r="GXZ160" s="2"/>
      <c r="GYA160" s="2"/>
      <c r="GYB160" s="14"/>
      <c r="GYM160" s="1"/>
      <c r="GYN160" s="1"/>
      <c r="GYO160" s="1"/>
      <c r="GYP160" s="2"/>
      <c r="GYQ160" s="2"/>
      <c r="GYR160" s="14"/>
      <c r="GZC160" s="1"/>
      <c r="GZD160" s="1"/>
      <c r="GZE160" s="1"/>
      <c r="GZF160" s="2"/>
      <c r="GZG160" s="2"/>
      <c r="GZH160" s="14"/>
      <c r="GZS160" s="1"/>
      <c r="GZT160" s="1"/>
      <c r="GZU160" s="1"/>
      <c r="GZV160" s="2"/>
      <c r="GZW160" s="2"/>
      <c r="GZX160" s="14"/>
      <c r="HAI160" s="1"/>
      <c r="HAJ160" s="1"/>
      <c r="HAK160" s="1"/>
      <c r="HAL160" s="2"/>
      <c r="HAM160" s="2"/>
      <c r="HAN160" s="14"/>
      <c r="HAY160" s="1"/>
      <c r="HAZ160" s="1"/>
      <c r="HBA160" s="1"/>
      <c r="HBB160" s="2"/>
      <c r="HBC160" s="2"/>
      <c r="HBD160" s="14"/>
      <c r="HBO160" s="1"/>
      <c r="HBP160" s="1"/>
      <c r="HBQ160" s="1"/>
      <c r="HBR160" s="2"/>
      <c r="HBS160" s="2"/>
      <c r="HBT160" s="14"/>
      <c r="HCE160" s="1"/>
      <c r="HCF160" s="1"/>
      <c r="HCG160" s="1"/>
      <c r="HCH160" s="2"/>
      <c r="HCI160" s="2"/>
      <c r="HCJ160" s="14"/>
      <c r="HCU160" s="1"/>
      <c r="HCV160" s="1"/>
      <c r="HCW160" s="1"/>
      <c r="HCX160" s="2"/>
      <c r="HCY160" s="2"/>
      <c r="HCZ160" s="14"/>
      <c r="HDK160" s="1"/>
      <c r="HDL160" s="1"/>
      <c r="HDM160" s="1"/>
      <c r="HDN160" s="2"/>
      <c r="HDO160" s="2"/>
      <c r="HDP160" s="14"/>
      <c r="HEA160" s="1"/>
      <c r="HEB160" s="1"/>
      <c r="HEC160" s="1"/>
      <c r="HED160" s="2"/>
      <c r="HEE160" s="2"/>
      <c r="HEF160" s="14"/>
      <c r="HEQ160" s="1"/>
      <c r="HER160" s="1"/>
      <c r="HES160" s="1"/>
      <c r="HET160" s="2"/>
      <c r="HEU160" s="2"/>
      <c r="HEV160" s="14"/>
      <c r="HFG160" s="1"/>
      <c r="HFH160" s="1"/>
      <c r="HFI160" s="1"/>
      <c r="HFJ160" s="2"/>
      <c r="HFK160" s="2"/>
      <c r="HFL160" s="14"/>
      <c r="HFW160" s="1"/>
      <c r="HFX160" s="1"/>
      <c r="HFY160" s="1"/>
      <c r="HFZ160" s="2"/>
      <c r="HGA160" s="2"/>
      <c r="HGB160" s="14"/>
      <c r="HGM160" s="1"/>
      <c r="HGN160" s="1"/>
      <c r="HGO160" s="1"/>
      <c r="HGP160" s="2"/>
      <c r="HGQ160" s="2"/>
      <c r="HGR160" s="14"/>
      <c r="HHC160" s="1"/>
      <c r="HHD160" s="1"/>
      <c r="HHE160" s="1"/>
      <c r="HHF160" s="2"/>
      <c r="HHG160" s="2"/>
      <c r="HHH160" s="14"/>
      <c r="HHS160" s="1"/>
      <c r="HHT160" s="1"/>
      <c r="HHU160" s="1"/>
      <c r="HHV160" s="2"/>
      <c r="HHW160" s="2"/>
      <c r="HHX160" s="14"/>
      <c r="HII160" s="1"/>
      <c r="HIJ160" s="1"/>
      <c r="HIK160" s="1"/>
      <c r="HIL160" s="2"/>
      <c r="HIM160" s="2"/>
      <c r="HIN160" s="14"/>
      <c r="HIY160" s="1"/>
      <c r="HIZ160" s="1"/>
      <c r="HJA160" s="1"/>
      <c r="HJB160" s="2"/>
      <c r="HJC160" s="2"/>
      <c r="HJD160" s="14"/>
      <c r="HJO160" s="1"/>
      <c r="HJP160" s="1"/>
      <c r="HJQ160" s="1"/>
      <c r="HJR160" s="2"/>
      <c r="HJS160" s="2"/>
      <c r="HJT160" s="14"/>
      <c r="HKE160" s="1"/>
      <c r="HKF160" s="1"/>
      <c r="HKG160" s="1"/>
      <c r="HKH160" s="2"/>
      <c r="HKI160" s="2"/>
      <c r="HKJ160" s="14"/>
      <c r="HKU160" s="1"/>
      <c r="HKV160" s="1"/>
      <c r="HKW160" s="1"/>
      <c r="HKX160" s="2"/>
      <c r="HKY160" s="2"/>
      <c r="HKZ160" s="14"/>
      <c r="HLK160" s="1"/>
      <c r="HLL160" s="1"/>
      <c r="HLM160" s="1"/>
      <c r="HLN160" s="2"/>
      <c r="HLO160" s="2"/>
      <c r="HLP160" s="14"/>
      <c r="HMA160" s="1"/>
      <c r="HMB160" s="1"/>
      <c r="HMC160" s="1"/>
      <c r="HMD160" s="2"/>
      <c r="HME160" s="2"/>
      <c r="HMF160" s="14"/>
      <c r="HMQ160" s="1"/>
      <c r="HMR160" s="1"/>
      <c r="HMS160" s="1"/>
      <c r="HMT160" s="2"/>
      <c r="HMU160" s="2"/>
      <c r="HMV160" s="14"/>
      <c r="HNG160" s="1"/>
      <c r="HNH160" s="1"/>
      <c r="HNI160" s="1"/>
      <c r="HNJ160" s="2"/>
      <c r="HNK160" s="2"/>
      <c r="HNL160" s="14"/>
      <c r="HNW160" s="1"/>
      <c r="HNX160" s="1"/>
      <c r="HNY160" s="1"/>
      <c r="HNZ160" s="2"/>
      <c r="HOA160" s="2"/>
      <c r="HOB160" s="14"/>
      <c r="HOM160" s="1"/>
      <c r="HON160" s="1"/>
      <c r="HOO160" s="1"/>
      <c r="HOP160" s="2"/>
      <c r="HOQ160" s="2"/>
      <c r="HOR160" s="14"/>
      <c r="HPC160" s="1"/>
      <c r="HPD160" s="1"/>
      <c r="HPE160" s="1"/>
      <c r="HPF160" s="2"/>
      <c r="HPG160" s="2"/>
      <c r="HPH160" s="14"/>
      <c r="HPS160" s="1"/>
      <c r="HPT160" s="1"/>
      <c r="HPU160" s="1"/>
      <c r="HPV160" s="2"/>
      <c r="HPW160" s="2"/>
      <c r="HPX160" s="14"/>
      <c r="HQI160" s="1"/>
      <c r="HQJ160" s="1"/>
      <c r="HQK160" s="1"/>
      <c r="HQL160" s="2"/>
      <c r="HQM160" s="2"/>
      <c r="HQN160" s="14"/>
      <c r="HQY160" s="1"/>
      <c r="HQZ160" s="1"/>
      <c r="HRA160" s="1"/>
      <c r="HRB160" s="2"/>
      <c r="HRC160" s="2"/>
      <c r="HRD160" s="14"/>
      <c r="HRO160" s="1"/>
      <c r="HRP160" s="1"/>
      <c r="HRQ160" s="1"/>
      <c r="HRR160" s="2"/>
      <c r="HRS160" s="2"/>
      <c r="HRT160" s="14"/>
      <c r="HSE160" s="1"/>
      <c r="HSF160" s="1"/>
      <c r="HSG160" s="1"/>
      <c r="HSH160" s="2"/>
      <c r="HSI160" s="2"/>
      <c r="HSJ160" s="14"/>
      <c r="HSU160" s="1"/>
      <c r="HSV160" s="1"/>
      <c r="HSW160" s="1"/>
      <c r="HSX160" s="2"/>
      <c r="HSY160" s="2"/>
      <c r="HSZ160" s="14"/>
      <c r="HTK160" s="1"/>
      <c r="HTL160" s="1"/>
      <c r="HTM160" s="1"/>
      <c r="HTN160" s="2"/>
      <c r="HTO160" s="2"/>
      <c r="HTP160" s="14"/>
      <c r="HUA160" s="1"/>
      <c r="HUB160" s="1"/>
      <c r="HUC160" s="1"/>
      <c r="HUD160" s="2"/>
      <c r="HUE160" s="2"/>
      <c r="HUF160" s="14"/>
      <c r="HUQ160" s="1"/>
      <c r="HUR160" s="1"/>
      <c r="HUS160" s="1"/>
      <c r="HUT160" s="2"/>
      <c r="HUU160" s="2"/>
      <c r="HUV160" s="14"/>
      <c r="HVG160" s="1"/>
      <c r="HVH160" s="1"/>
      <c r="HVI160" s="1"/>
      <c r="HVJ160" s="2"/>
      <c r="HVK160" s="2"/>
      <c r="HVL160" s="14"/>
      <c r="HVW160" s="1"/>
      <c r="HVX160" s="1"/>
      <c r="HVY160" s="1"/>
      <c r="HVZ160" s="2"/>
      <c r="HWA160" s="2"/>
      <c r="HWB160" s="14"/>
      <c r="HWM160" s="1"/>
      <c r="HWN160" s="1"/>
      <c r="HWO160" s="1"/>
      <c r="HWP160" s="2"/>
      <c r="HWQ160" s="2"/>
      <c r="HWR160" s="14"/>
      <c r="HXC160" s="1"/>
      <c r="HXD160" s="1"/>
      <c r="HXE160" s="1"/>
      <c r="HXF160" s="2"/>
      <c r="HXG160" s="2"/>
      <c r="HXH160" s="14"/>
      <c r="HXS160" s="1"/>
      <c r="HXT160" s="1"/>
      <c r="HXU160" s="1"/>
      <c r="HXV160" s="2"/>
      <c r="HXW160" s="2"/>
      <c r="HXX160" s="14"/>
      <c r="HYI160" s="1"/>
      <c r="HYJ160" s="1"/>
      <c r="HYK160" s="1"/>
      <c r="HYL160" s="2"/>
      <c r="HYM160" s="2"/>
      <c r="HYN160" s="14"/>
      <c r="HYY160" s="1"/>
      <c r="HYZ160" s="1"/>
      <c r="HZA160" s="1"/>
      <c r="HZB160" s="2"/>
      <c r="HZC160" s="2"/>
      <c r="HZD160" s="14"/>
      <c r="HZO160" s="1"/>
      <c r="HZP160" s="1"/>
      <c r="HZQ160" s="1"/>
      <c r="HZR160" s="2"/>
      <c r="HZS160" s="2"/>
      <c r="HZT160" s="14"/>
      <c r="IAE160" s="1"/>
      <c r="IAF160" s="1"/>
      <c r="IAG160" s="1"/>
      <c r="IAH160" s="2"/>
      <c r="IAI160" s="2"/>
      <c r="IAJ160" s="14"/>
      <c r="IAU160" s="1"/>
      <c r="IAV160" s="1"/>
      <c r="IAW160" s="1"/>
      <c r="IAX160" s="2"/>
      <c r="IAY160" s="2"/>
      <c r="IAZ160" s="14"/>
      <c r="IBK160" s="1"/>
      <c r="IBL160" s="1"/>
      <c r="IBM160" s="1"/>
      <c r="IBN160" s="2"/>
      <c r="IBO160" s="2"/>
      <c r="IBP160" s="14"/>
      <c r="ICA160" s="1"/>
      <c r="ICB160" s="1"/>
      <c r="ICC160" s="1"/>
      <c r="ICD160" s="2"/>
      <c r="ICE160" s="2"/>
      <c r="ICF160" s="14"/>
      <c r="ICQ160" s="1"/>
      <c r="ICR160" s="1"/>
      <c r="ICS160" s="1"/>
      <c r="ICT160" s="2"/>
      <c r="ICU160" s="2"/>
      <c r="ICV160" s="14"/>
      <c r="IDG160" s="1"/>
      <c r="IDH160" s="1"/>
      <c r="IDI160" s="1"/>
      <c r="IDJ160" s="2"/>
      <c r="IDK160" s="2"/>
      <c r="IDL160" s="14"/>
      <c r="IDW160" s="1"/>
      <c r="IDX160" s="1"/>
      <c r="IDY160" s="1"/>
      <c r="IDZ160" s="2"/>
      <c r="IEA160" s="2"/>
      <c r="IEB160" s="14"/>
      <c r="IEM160" s="1"/>
      <c r="IEN160" s="1"/>
      <c r="IEO160" s="1"/>
      <c r="IEP160" s="2"/>
      <c r="IEQ160" s="2"/>
      <c r="IER160" s="14"/>
      <c r="IFC160" s="1"/>
      <c r="IFD160" s="1"/>
      <c r="IFE160" s="1"/>
      <c r="IFF160" s="2"/>
      <c r="IFG160" s="2"/>
      <c r="IFH160" s="14"/>
      <c r="IFS160" s="1"/>
      <c r="IFT160" s="1"/>
      <c r="IFU160" s="1"/>
      <c r="IFV160" s="2"/>
      <c r="IFW160" s="2"/>
      <c r="IFX160" s="14"/>
      <c r="IGI160" s="1"/>
      <c r="IGJ160" s="1"/>
      <c r="IGK160" s="1"/>
      <c r="IGL160" s="2"/>
      <c r="IGM160" s="2"/>
      <c r="IGN160" s="14"/>
      <c r="IGY160" s="1"/>
      <c r="IGZ160" s="1"/>
      <c r="IHA160" s="1"/>
      <c r="IHB160" s="2"/>
      <c r="IHC160" s="2"/>
      <c r="IHD160" s="14"/>
      <c r="IHO160" s="1"/>
      <c r="IHP160" s="1"/>
      <c r="IHQ160" s="1"/>
      <c r="IHR160" s="2"/>
      <c r="IHS160" s="2"/>
      <c r="IHT160" s="14"/>
      <c r="IIE160" s="1"/>
      <c r="IIF160" s="1"/>
      <c r="IIG160" s="1"/>
      <c r="IIH160" s="2"/>
      <c r="III160" s="2"/>
      <c r="IIJ160" s="14"/>
      <c r="IIU160" s="1"/>
      <c r="IIV160" s="1"/>
      <c r="IIW160" s="1"/>
      <c r="IIX160" s="2"/>
      <c r="IIY160" s="2"/>
      <c r="IIZ160" s="14"/>
      <c r="IJK160" s="1"/>
      <c r="IJL160" s="1"/>
      <c r="IJM160" s="1"/>
      <c r="IJN160" s="2"/>
      <c r="IJO160" s="2"/>
      <c r="IJP160" s="14"/>
      <c r="IKA160" s="1"/>
      <c r="IKB160" s="1"/>
      <c r="IKC160" s="1"/>
      <c r="IKD160" s="2"/>
      <c r="IKE160" s="2"/>
      <c r="IKF160" s="14"/>
      <c r="IKQ160" s="1"/>
      <c r="IKR160" s="1"/>
      <c r="IKS160" s="1"/>
      <c r="IKT160" s="2"/>
      <c r="IKU160" s="2"/>
      <c r="IKV160" s="14"/>
      <c r="ILG160" s="1"/>
      <c r="ILH160" s="1"/>
      <c r="ILI160" s="1"/>
      <c r="ILJ160" s="2"/>
      <c r="ILK160" s="2"/>
      <c r="ILL160" s="14"/>
      <c r="ILW160" s="1"/>
      <c r="ILX160" s="1"/>
      <c r="ILY160" s="1"/>
      <c r="ILZ160" s="2"/>
      <c r="IMA160" s="2"/>
      <c r="IMB160" s="14"/>
      <c r="IMM160" s="1"/>
      <c r="IMN160" s="1"/>
      <c r="IMO160" s="1"/>
      <c r="IMP160" s="2"/>
      <c r="IMQ160" s="2"/>
      <c r="IMR160" s="14"/>
      <c r="INC160" s="1"/>
      <c r="IND160" s="1"/>
      <c r="INE160" s="1"/>
      <c r="INF160" s="2"/>
      <c r="ING160" s="2"/>
      <c r="INH160" s="14"/>
      <c r="INS160" s="1"/>
      <c r="INT160" s="1"/>
      <c r="INU160" s="1"/>
      <c r="INV160" s="2"/>
      <c r="INW160" s="2"/>
      <c r="INX160" s="14"/>
      <c r="IOI160" s="1"/>
      <c r="IOJ160" s="1"/>
      <c r="IOK160" s="1"/>
      <c r="IOL160" s="2"/>
      <c r="IOM160" s="2"/>
      <c r="ION160" s="14"/>
      <c r="IOY160" s="1"/>
      <c r="IOZ160" s="1"/>
      <c r="IPA160" s="1"/>
      <c r="IPB160" s="2"/>
      <c r="IPC160" s="2"/>
      <c r="IPD160" s="14"/>
      <c r="IPO160" s="1"/>
      <c r="IPP160" s="1"/>
      <c r="IPQ160" s="1"/>
      <c r="IPR160" s="2"/>
      <c r="IPS160" s="2"/>
      <c r="IPT160" s="14"/>
      <c r="IQE160" s="1"/>
      <c r="IQF160" s="1"/>
      <c r="IQG160" s="1"/>
      <c r="IQH160" s="2"/>
      <c r="IQI160" s="2"/>
      <c r="IQJ160" s="14"/>
      <c r="IQU160" s="1"/>
      <c r="IQV160" s="1"/>
      <c r="IQW160" s="1"/>
      <c r="IQX160" s="2"/>
      <c r="IQY160" s="2"/>
      <c r="IQZ160" s="14"/>
      <c r="IRK160" s="1"/>
      <c r="IRL160" s="1"/>
      <c r="IRM160" s="1"/>
      <c r="IRN160" s="2"/>
      <c r="IRO160" s="2"/>
      <c r="IRP160" s="14"/>
      <c r="ISA160" s="1"/>
      <c r="ISB160" s="1"/>
      <c r="ISC160" s="1"/>
      <c r="ISD160" s="2"/>
      <c r="ISE160" s="2"/>
      <c r="ISF160" s="14"/>
      <c r="ISQ160" s="1"/>
      <c r="ISR160" s="1"/>
      <c r="ISS160" s="1"/>
      <c r="IST160" s="2"/>
      <c r="ISU160" s="2"/>
      <c r="ISV160" s="14"/>
      <c r="ITG160" s="1"/>
      <c r="ITH160" s="1"/>
      <c r="ITI160" s="1"/>
      <c r="ITJ160" s="2"/>
      <c r="ITK160" s="2"/>
      <c r="ITL160" s="14"/>
      <c r="ITW160" s="1"/>
      <c r="ITX160" s="1"/>
      <c r="ITY160" s="1"/>
      <c r="ITZ160" s="2"/>
      <c r="IUA160" s="2"/>
      <c r="IUB160" s="14"/>
      <c r="IUM160" s="1"/>
      <c r="IUN160" s="1"/>
      <c r="IUO160" s="1"/>
      <c r="IUP160" s="2"/>
      <c r="IUQ160" s="2"/>
      <c r="IUR160" s="14"/>
      <c r="IVC160" s="1"/>
      <c r="IVD160" s="1"/>
      <c r="IVE160" s="1"/>
      <c r="IVF160" s="2"/>
      <c r="IVG160" s="2"/>
      <c r="IVH160" s="14"/>
      <c r="IVS160" s="1"/>
      <c r="IVT160" s="1"/>
      <c r="IVU160" s="1"/>
      <c r="IVV160" s="2"/>
      <c r="IVW160" s="2"/>
      <c r="IVX160" s="14"/>
      <c r="IWI160" s="1"/>
      <c r="IWJ160" s="1"/>
      <c r="IWK160" s="1"/>
      <c r="IWL160" s="2"/>
      <c r="IWM160" s="2"/>
      <c r="IWN160" s="14"/>
      <c r="IWY160" s="1"/>
      <c r="IWZ160" s="1"/>
      <c r="IXA160" s="1"/>
      <c r="IXB160" s="2"/>
      <c r="IXC160" s="2"/>
      <c r="IXD160" s="14"/>
      <c r="IXO160" s="1"/>
      <c r="IXP160" s="1"/>
      <c r="IXQ160" s="1"/>
      <c r="IXR160" s="2"/>
      <c r="IXS160" s="2"/>
      <c r="IXT160" s="14"/>
      <c r="IYE160" s="1"/>
      <c r="IYF160" s="1"/>
      <c r="IYG160" s="1"/>
      <c r="IYH160" s="2"/>
      <c r="IYI160" s="2"/>
      <c r="IYJ160" s="14"/>
      <c r="IYU160" s="1"/>
      <c r="IYV160" s="1"/>
      <c r="IYW160" s="1"/>
      <c r="IYX160" s="2"/>
      <c r="IYY160" s="2"/>
      <c r="IYZ160" s="14"/>
      <c r="IZK160" s="1"/>
      <c r="IZL160" s="1"/>
      <c r="IZM160" s="1"/>
      <c r="IZN160" s="2"/>
      <c r="IZO160" s="2"/>
      <c r="IZP160" s="14"/>
      <c r="JAA160" s="1"/>
      <c r="JAB160" s="1"/>
      <c r="JAC160" s="1"/>
      <c r="JAD160" s="2"/>
      <c r="JAE160" s="2"/>
      <c r="JAF160" s="14"/>
      <c r="JAQ160" s="1"/>
      <c r="JAR160" s="1"/>
      <c r="JAS160" s="1"/>
      <c r="JAT160" s="2"/>
      <c r="JAU160" s="2"/>
      <c r="JAV160" s="14"/>
      <c r="JBG160" s="1"/>
      <c r="JBH160" s="1"/>
      <c r="JBI160" s="1"/>
      <c r="JBJ160" s="2"/>
      <c r="JBK160" s="2"/>
      <c r="JBL160" s="14"/>
      <c r="JBW160" s="1"/>
      <c r="JBX160" s="1"/>
      <c r="JBY160" s="1"/>
      <c r="JBZ160" s="2"/>
      <c r="JCA160" s="2"/>
      <c r="JCB160" s="14"/>
      <c r="JCM160" s="1"/>
      <c r="JCN160" s="1"/>
      <c r="JCO160" s="1"/>
      <c r="JCP160" s="2"/>
      <c r="JCQ160" s="2"/>
      <c r="JCR160" s="14"/>
      <c r="JDC160" s="1"/>
      <c r="JDD160" s="1"/>
      <c r="JDE160" s="1"/>
      <c r="JDF160" s="2"/>
      <c r="JDG160" s="2"/>
      <c r="JDH160" s="14"/>
      <c r="JDS160" s="1"/>
      <c r="JDT160" s="1"/>
      <c r="JDU160" s="1"/>
      <c r="JDV160" s="2"/>
      <c r="JDW160" s="2"/>
      <c r="JDX160" s="14"/>
      <c r="JEI160" s="1"/>
      <c r="JEJ160" s="1"/>
      <c r="JEK160" s="1"/>
      <c r="JEL160" s="2"/>
      <c r="JEM160" s="2"/>
      <c r="JEN160" s="14"/>
      <c r="JEY160" s="1"/>
      <c r="JEZ160" s="1"/>
      <c r="JFA160" s="1"/>
      <c r="JFB160" s="2"/>
      <c r="JFC160" s="2"/>
      <c r="JFD160" s="14"/>
      <c r="JFO160" s="1"/>
      <c r="JFP160" s="1"/>
      <c r="JFQ160" s="1"/>
      <c r="JFR160" s="2"/>
      <c r="JFS160" s="2"/>
      <c r="JFT160" s="14"/>
      <c r="JGE160" s="1"/>
      <c r="JGF160" s="1"/>
      <c r="JGG160" s="1"/>
      <c r="JGH160" s="2"/>
      <c r="JGI160" s="2"/>
      <c r="JGJ160" s="14"/>
      <c r="JGU160" s="1"/>
      <c r="JGV160" s="1"/>
      <c r="JGW160" s="1"/>
      <c r="JGX160" s="2"/>
      <c r="JGY160" s="2"/>
      <c r="JGZ160" s="14"/>
      <c r="JHK160" s="1"/>
      <c r="JHL160" s="1"/>
      <c r="JHM160" s="1"/>
      <c r="JHN160" s="2"/>
      <c r="JHO160" s="2"/>
      <c r="JHP160" s="14"/>
      <c r="JIA160" s="1"/>
      <c r="JIB160" s="1"/>
      <c r="JIC160" s="1"/>
      <c r="JID160" s="2"/>
      <c r="JIE160" s="2"/>
      <c r="JIF160" s="14"/>
      <c r="JIQ160" s="1"/>
      <c r="JIR160" s="1"/>
      <c r="JIS160" s="1"/>
      <c r="JIT160" s="2"/>
      <c r="JIU160" s="2"/>
      <c r="JIV160" s="14"/>
      <c r="JJG160" s="1"/>
      <c r="JJH160" s="1"/>
      <c r="JJI160" s="1"/>
      <c r="JJJ160" s="2"/>
      <c r="JJK160" s="2"/>
      <c r="JJL160" s="14"/>
      <c r="JJW160" s="1"/>
      <c r="JJX160" s="1"/>
      <c r="JJY160" s="1"/>
      <c r="JJZ160" s="2"/>
      <c r="JKA160" s="2"/>
      <c r="JKB160" s="14"/>
      <c r="JKM160" s="1"/>
      <c r="JKN160" s="1"/>
      <c r="JKO160" s="1"/>
      <c r="JKP160" s="2"/>
      <c r="JKQ160" s="2"/>
      <c r="JKR160" s="14"/>
      <c r="JLC160" s="1"/>
      <c r="JLD160" s="1"/>
      <c r="JLE160" s="1"/>
      <c r="JLF160" s="2"/>
      <c r="JLG160" s="2"/>
      <c r="JLH160" s="14"/>
      <c r="JLS160" s="1"/>
      <c r="JLT160" s="1"/>
      <c r="JLU160" s="1"/>
      <c r="JLV160" s="2"/>
      <c r="JLW160" s="2"/>
      <c r="JLX160" s="14"/>
      <c r="JMI160" s="1"/>
      <c r="JMJ160" s="1"/>
      <c r="JMK160" s="1"/>
      <c r="JML160" s="2"/>
      <c r="JMM160" s="2"/>
      <c r="JMN160" s="14"/>
      <c r="JMY160" s="1"/>
      <c r="JMZ160" s="1"/>
      <c r="JNA160" s="1"/>
      <c r="JNB160" s="2"/>
      <c r="JNC160" s="2"/>
      <c r="JND160" s="14"/>
      <c r="JNO160" s="1"/>
      <c r="JNP160" s="1"/>
      <c r="JNQ160" s="1"/>
      <c r="JNR160" s="2"/>
      <c r="JNS160" s="2"/>
      <c r="JNT160" s="14"/>
      <c r="JOE160" s="1"/>
      <c r="JOF160" s="1"/>
      <c r="JOG160" s="1"/>
      <c r="JOH160" s="2"/>
      <c r="JOI160" s="2"/>
      <c r="JOJ160" s="14"/>
      <c r="JOU160" s="1"/>
      <c r="JOV160" s="1"/>
      <c r="JOW160" s="1"/>
      <c r="JOX160" s="2"/>
      <c r="JOY160" s="2"/>
      <c r="JOZ160" s="14"/>
      <c r="JPK160" s="1"/>
      <c r="JPL160" s="1"/>
      <c r="JPM160" s="1"/>
      <c r="JPN160" s="2"/>
      <c r="JPO160" s="2"/>
      <c r="JPP160" s="14"/>
      <c r="JQA160" s="1"/>
      <c r="JQB160" s="1"/>
      <c r="JQC160" s="1"/>
      <c r="JQD160" s="2"/>
      <c r="JQE160" s="2"/>
      <c r="JQF160" s="14"/>
      <c r="JQQ160" s="1"/>
      <c r="JQR160" s="1"/>
      <c r="JQS160" s="1"/>
      <c r="JQT160" s="2"/>
      <c r="JQU160" s="2"/>
      <c r="JQV160" s="14"/>
      <c r="JRG160" s="1"/>
      <c r="JRH160" s="1"/>
      <c r="JRI160" s="1"/>
      <c r="JRJ160" s="2"/>
      <c r="JRK160" s="2"/>
      <c r="JRL160" s="14"/>
      <c r="JRW160" s="1"/>
      <c r="JRX160" s="1"/>
      <c r="JRY160" s="1"/>
      <c r="JRZ160" s="2"/>
      <c r="JSA160" s="2"/>
      <c r="JSB160" s="14"/>
      <c r="JSM160" s="1"/>
      <c r="JSN160" s="1"/>
      <c r="JSO160" s="1"/>
      <c r="JSP160" s="2"/>
      <c r="JSQ160" s="2"/>
      <c r="JSR160" s="14"/>
      <c r="JTC160" s="1"/>
      <c r="JTD160" s="1"/>
      <c r="JTE160" s="1"/>
      <c r="JTF160" s="2"/>
      <c r="JTG160" s="2"/>
      <c r="JTH160" s="14"/>
      <c r="JTS160" s="1"/>
      <c r="JTT160" s="1"/>
      <c r="JTU160" s="1"/>
      <c r="JTV160" s="2"/>
      <c r="JTW160" s="2"/>
      <c r="JTX160" s="14"/>
      <c r="JUI160" s="1"/>
      <c r="JUJ160" s="1"/>
      <c r="JUK160" s="1"/>
      <c r="JUL160" s="2"/>
      <c r="JUM160" s="2"/>
      <c r="JUN160" s="14"/>
      <c r="JUY160" s="1"/>
      <c r="JUZ160" s="1"/>
      <c r="JVA160" s="1"/>
      <c r="JVB160" s="2"/>
      <c r="JVC160" s="2"/>
      <c r="JVD160" s="14"/>
      <c r="JVO160" s="1"/>
      <c r="JVP160" s="1"/>
      <c r="JVQ160" s="1"/>
      <c r="JVR160" s="2"/>
      <c r="JVS160" s="2"/>
      <c r="JVT160" s="14"/>
      <c r="JWE160" s="1"/>
      <c r="JWF160" s="1"/>
      <c r="JWG160" s="1"/>
      <c r="JWH160" s="2"/>
      <c r="JWI160" s="2"/>
      <c r="JWJ160" s="14"/>
      <c r="JWU160" s="1"/>
      <c r="JWV160" s="1"/>
      <c r="JWW160" s="1"/>
      <c r="JWX160" s="2"/>
      <c r="JWY160" s="2"/>
      <c r="JWZ160" s="14"/>
      <c r="JXK160" s="1"/>
      <c r="JXL160" s="1"/>
      <c r="JXM160" s="1"/>
      <c r="JXN160" s="2"/>
      <c r="JXO160" s="2"/>
      <c r="JXP160" s="14"/>
      <c r="JYA160" s="1"/>
      <c r="JYB160" s="1"/>
      <c r="JYC160" s="1"/>
      <c r="JYD160" s="2"/>
      <c r="JYE160" s="2"/>
      <c r="JYF160" s="14"/>
      <c r="JYQ160" s="1"/>
      <c r="JYR160" s="1"/>
      <c r="JYS160" s="1"/>
      <c r="JYT160" s="2"/>
      <c r="JYU160" s="2"/>
      <c r="JYV160" s="14"/>
      <c r="JZG160" s="1"/>
      <c r="JZH160" s="1"/>
      <c r="JZI160" s="1"/>
      <c r="JZJ160" s="2"/>
      <c r="JZK160" s="2"/>
      <c r="JZL160" s="14"/>
      <c r="JZW160" s="1"/>
      <c r="JZX160" s="1"/>
      <c r="JZY160" s="1"/>
      <c r="JZZ160" s="2"/>
      <c r="KAA160" s="2"/>
      <c r="KAB160" s="14"/>
      <c r="KAM160" s="1"/>
      <c r="KAN160" s="1"/>
      <c r="KAO160" s="1"/>
      <c r="KAP160" s="2"/>
      <c r="KAQ160" s="2"/>
      <c r="KAR160" s="14"/>
      <c r="KBC160" s="1"/>
      <c r="KBD160" s="1"/>
      <c r="KBE160" s="1"/>
      <c r="KBF160" s="2"/>
      <c r="KBG160" s="2"/>
      <c r="KBH160" s="14"/>
      <c r="KBS160" s="1"/>
      <c r="KBT160" s="1"/>
      <c r="KBU160" s="1"/>
      <c r="KBV160" s="2"/>
      <c r="KBW160" s="2"/>
      <c r="KBX160" s="14"/>
      <c r="KCI160" s="1"/>
      <c r="KCJ160" s="1"/>
      <c r="KCK160" s="1"/>
      <c r="KCL160" s="2"/>
      <c r="KCM160" s="2"/>
      <c r="KCN160" s="14"/>
      <c r="KCY160" s="1"/>
      <c r="KCZ160" s="1"/>
      <c r="KDA160" s="1"/>
      <c r="KDB160" s="2"/>
      <c r="KDC160" s="2"/>
      <c r="KDD160" s="14"/>
      <c r="KDO160" s="1"/>
      <c r="KDP160" s="1"/>
      <c r="KDQ160" s="1"/>
      <c r="KDR160" s="2"/>
      <c r="KDS160" s="2"/>
      <c r="KDT160" s="14"/>
      <c r="KEE160" s="1"/>
      <c r="KEF160" s="1"/>
      <c r="KEG160" s="1"/>
      <c r="KEH160" s="2"/>
      <c r="KEI160" s="2"/>
      <c r="KEJ160" s="14"/>
      <c r="KEU160" s="1"/>
      <c r="KEV160" s="1"/>
      <c r="KEW160" s="1"/>
      <c r="KEX160" s="2"/>
      <c r="KEY160" s="2"/>
      <c r="KEZ160" s="14"/>
      <c r="KFK160" s="1"/>
      <c r="KFL160" s="1"/>
      <c r="KFM160" s="1"/>
      <c r="KFN160" s="2"/>
      <c r="KFO160" s="2"/>
      <c r="KFP160" s="14"/>
      <c r="KGA160" s="1"/>
      <c r="KGB160" s="1"/>
      <c r="KGC160" s="1"/>
      <c r="KGD160" s="2"/>
      <c r="KGE160" s="2"/>
      <c r="KGF160" s="14"/>
      <c r="KGQ160" s="1"/>
      <c r="KGR160" s="1"/>
      <c r="KGS160" s="1"/>
      <c r="KGT160" s="2"/>
      <c r="KGU160" s="2"/>
      <c r="KGV160" s="14"/>
      <c r="KHG160" s="1"/>
      <c r="KHH160" s="1"/>
      <c r="KHI160" s="1"/>
      <c r="KHJ160" s="2"/>
      <c r="KHK160" s="2"/>
      <c r="KHL160" s="14"/>
      <c r="KHW160" s="1"/>
      <c r="KHX160" s="1"/>
      <c r="KHY160" s="1"/>
      <c r="KHZ160" s="2"/>
      <c r="KIA160" s="2"/>
      <c r="KIB160" s="14"/>
      <c r="KIM160" s="1"/>
      <c r="KIN160" s="1"/>
      <c r="KIO160" s="1"/>
      <c r="KIP160" s="2"/>
      <c r="KIQ160" s="2"/>
      <c r="KIR160" s="14"/>
      <c r="KJC160" s="1"/>
      <c r="KJD160" s="1"/>
      <c r="KJE160" s="1"/>
      <c r="KJF160" s="2"/>
      <c r="KJG160" s="2"/>
      <c r="KJH160" s="14"/>
      <c r="KJS160" s="1"/>
      <c r="KJT160" s="1"/>
      <c r="KJU160" s="1"/>
      <c r="KJV160" s="2"/>
      <c r="KJW160" s="2"/>
      <c r="KJX160" s="14"/>
      <c r="KKI160" s="1"/>
      <c r="KKJ160" s="1"/>
      <c r="KKK160" s="1"/>
      <c r="KKL160" s="2"/>
      <c r="KKM160" s="2"/>
      <c r="KKN160" s="14"/>
      <c r="KKY160" s="1"/>
      <c r="KKZ160" s="1"/>
      <c r="KLA160" s="1"/>
      <c r="KLB160" s="2"/>
      <c r="KLC160" s="2"/>
      <c r="KLD160" s="14"/>
      <c r="KLO160" s="1"/>
      <c r="KLP160" s="1"/>
      <c r="KLQ160" s="1"/>
      <c r="KLR160" s="2"/>
      <c r="KLS160" s="2"/>
      <c r="KLT160" s="14"/>
      <c r="KME160" s="1"/>
      <c r="KMF160" s="1"/>
      <c r="KMG160" s="1"/>
      <c r="KMH160" s="2"/>
      <c r="KMI160" s="2"/>
      <c r="KMJ160" s="14"/>
      <c r="KMU160" s="1"/>
      <c r="KMV160" s="1"/>
      <c r="KMW160" s="1"/>
      <c r="KMX160" s="2"/>
      <c r="KMY160" s="2"/>
      <c r="KMZ160" s="14"/>
      <c r="KNK160" s="1"/>
      <c r="KNL160" s="1"/>
      <c r="KNM160" s="1"/>
      <c r="KNN160" s="2"/>
      <c r="KNO160" s="2"/>
      <c r="KNP160" s="14"/>
      <c r="KOA160" s="1"/>
      <c r="KOB160" s="1"/>
      <c r="KOC160" s="1"/>
      <c r="KOD160" s="2"/>
      <c r="KOE160" s="2"/>
      <c r="KOF160" s="14"/>
      <c r="KOQ160" s="1"/>
      <c r="KOR160" s="1"/>
      <c r="KOS160" s="1"/>
      <c r="KOT160" s="2"/>
      <c r="KOU160" s="2"/>
      <c r="KOV160" s="14"/>
      <c r="KPG160" s="1"/>
      <c r="KPH160" s="1"/>
      <c r="KPI160" s="1"/>
      <c r="KPJ160" s="2"/>
      <c r="KPK160" s="2"/>
      <c r="KPL160" s="14"/>
      <c r="KPW160" s="1"/>
      <c r="KPX160" s="1"/>
      <c r="KPY160" s="1"/>
      <c r="KPZ160" s="2"/>
      <c r="KQA160" s="2"/>
      <c r="KQB160" s="14"/>
      <c r="KQM160" s="1"/>
      <c r="KQN160" s="1"/>
      <c r="KQO160" s="1"/>
      <c r="KQP160" s="2"/>
      <c r="KQQ160" s="2"/>
      <c r="KQR160" s="14"/>
      <c r="KRC160" s="1"/>
      <c r="KRD160" s="1"/>
      <c r="KRE160" s="1"/>
      <c r="KRF160" s="2"/>
      <c r="KRG160" s="2"/>
      <c r="KRH160" s="14"/>
      <c r="KRS160" s="1"/>
      <c r="KRT160" s="1"/>
      <c r="KRU160" s="1"/>
      <c r="KRV160" s="2"/>
      <c r="KRW160" s="2"/>
      <c r="KRX160" s="14"/>
      <c r="KSI160" s="1"/>
      <c r="KSJ160" s="1"/>
      <c r="KSK160" s="1"/>
      <c r="KSL160" s="2"/>
      <c r="KSM160" s="2"/>
      <c r="KSN160" s="14"/>
      <c r="KSY160" s="1"/>
      <c r="KSZ160" s="1"/>
      <c r="KTA160" s="1"/>
      <c r="KTB160" s="2"/>
      <c r="KTC160" s="2"/>
      <c r="KTD160" s="14"/>
      <c r="KTO160" s="1"/>
      <c r="KTP160" s="1"/>
      <c r="KTQ160" s="1"/>
      <c r="KTR160" s="2"/>
      <c r="KTS160" s="2"/>
      <c r="KTT160" s="14"/>
      <c r="KUE160" s="1"/>
      <c r="KUF160" s="1"/>
      <c r="KUG160" s="1"/>
      <c r="KUH160" s="2"/>
      <c r="KUI160" s="2"/>
      <c r="KUJ160" s="14"/>
      <c r="KUU160" s="1"/>
      <c r="KUV160" s="1"/>
      <c r="KUW160" s="1"/>
      <c r="KUX160" s="2"/>
      <c r="KUY160" s="2"/>
      <c r="KUZ160" s="14"/>
      <c r="KVK160" s="1"/>
      <c r="KVL160" s="1"/>
      <c r="KVM160" s="1"/>
      <c r="KVN160" s="2"/>
      <c r="KVO160" s="2"/>
      <c r="KVP160" s="14"/>
      <c r="KWA160" s="1"/>
      <c r="KWB160" s="1"/>
      <c r="KWC160" s="1"/>
      <c r="KWD160" s="2"/>
      <c r="KWE160" s="2"/>
      <c r="KWF160" s="14"/>
      <c r="KWQ160" s="1"/>
      <c r="KWR160" s="1"/>
      <c r="KWS160" s="1"/>
      <c r="KWT160" s="2"/>
      <c r="KWU160" s="2"/>
      <c r="KWV160" s="14"/>
      <c r="KXG160" s="1"/>
      <c r="KXH160" s="1"/>
      <c r="KXI160" s="1"/>
      <c r="KXJ160" s="2"/>
      <c r="KXK160" s="2"/>
      <c r="KXL160" s="14"/>
      <c r="KXW160" s="1"/>
      <c r="KXX160" s="1"/>
      <c r="KXY160" s="1"/>
      <c r="KXZ160" s="2"/>
      <c r="KYA160" s="2"/>
      <c r="KYB160" s="14"/>
      <c r="KYM160" s="1"/>
      <c r="KYN160" s="1"/>
      <c r="KYO160" s="1"/>
      <c r="KYP160" s="2"/>
      <c r="KYQ160" s="2"/>
      <c r="KYR160" s="14"/>
      <c r="KZC160" s="1"/>
      <c r="KZD160" s="1"/>
      <c r="KZE160" s="1"/>
      <c r="KZF160" s="2"/>
      <c r="KZG160" s="2"/>
      <c r="KZH160" s="14"/>
      <c r="KZS160" s="1"/>
      <c r="KZT160" s="1"/>
      <c r="KZU160" s="1"/>
      <c r="KZV160" s="2"/>
      <c r="KZW160" s="2"/>
      <c r="KZX160" s="14"/>
      <c r="LAI160" s="1"/>
      <c r="LAJ160" s="1"/>
      <c r="LAK160" s="1"/>
      <c r="LAL160" s="2"/>
      <c r="LAM160" s="2"/>
      <c r="LAN160" s="14"/>
      <c r="LAY160" s="1"/>
      <c r="LAZ160" s="1"/>
      <c r="LBA160" s="1"/>
      <c r="LBB160" s="2"/>
      <c r="LBC160" s="2"/>
      <c r="LBD160" s="14"/>
      <c r="LBO160" s="1"/>
      <c r="LBP160" s="1"/>
      <c r="LBQ160" s="1"/>
      <c r="LBR160" s="2"/>
      <c r="LBS160" s="2"/>
      <c r="LBT160" s="14"/>
      <c r="LCE160" s="1"/>
      <c r="LCF160" s="1"/>
      <c r="LCG160" s="1"/>
      <c r="LCH160" s="2"/>
      <c r="LCI160" s="2"/>
      <c r="LCJ160" s="14"/>
      <c r="LCU160" s="1"/>
      <c r="LCV160" s="1"/>
      <c r="LCW160" s="1"/>
      <c r="LCX160" s="2"/>
      <c r="LCY160" s="2"/>
      <c r="LCZ160" s="14"/>
      <c r="LDK160" s="1"/>
      <c r="LDL160" s="1"/>
      <c r="LDM160" s="1"/>
      <c r="LDN160" s="2"/>
      <c r="LDO160" s="2"/>
      <c r="LDP160" s="14"/>
      <c r="LEA160" s="1"/>
      <c r="LEB160" s="1"/>
      <c r="LEC160" s="1"/>
      <c r="LED160" s="2"/>
      <c r="LEE160" s="2"/>
      <c r="LEF160" s="14"/>
      <c r="LEQ160" s="1"/>
      <c r="LER160" s="1"/>
      <c r="LES160" s="1"/>
      <c r="LET160" s="2"/>
      <c r="LEU160" s="2"/>
      <c r="LEV160" s="14"/>
      <c r="LFG160" s="1"/>
      <c r="LFH160" s="1"/>
      <c r="LFI160" s="1"/>
      <c r="LFJ160" s="2"/>
      <c r="LFK160" s="2"/>
      <c r="LFL160" s="14"/>
      <c r="LFW160" s="1"/>
      <c r="LFX160" s="1"/>
      <c r="LFY160" s="1"/>
      <c r="LFZ160" s="2"/>
      <c r="LGA160" s="2"/>
      <c r="LGB160" s="14"/>
      <c r="LGM160" s="1"/>
      <c r="LGN160" s="1"/>
      <c r="LGO160" s="1"/>
      <c r="LGP160" s="2"/>
      <c r="LGQ160" s="2"/>
      <c r="LGR160" s="14"/>
      <c r="LHC160" s="1"/>
      <c r="LHD160" s="1"/>
      <c r="LHE160" s="1"/>
      <c r="LHF160" s="2"/>
      <c r="LHG160" s="2"/>
      <c r="LHH160" s="14"/>
      <c r="LHS160" s="1"/>
      <c r="LHT160" s="1"/>
      <c r="LHU160" s="1"/>
      <c r="LHV160" s="2"/>
      <c r="LHW160" s="2"/>
      <c r="LHX160" s="14"/>
      <c r="LII160" s="1"/>
      <c r="LIJ160" s="1"/>
      <c r="LIK160" s="1"/>
      <c r="LIL160" s="2"/>
      <c r="LIM160" s="2"/>
      <c r="LIN160" s="14"/>
      <c r="LIY160" s="1"/>
      <c r="LIZ160" s="1"/>
      <c r="LJA160" s="1"/>
      <c r="LJB160" s="2"/>
      <c r="LJC160" s="2"/>
      <c r="LJD160" s="14"/>
      <c r="LJO160" s="1"/>
      <c r="LJP160" s="1"/>
      <c r="LJQ160" s="1"/>
      <c r="LJR160" s="2"/>
      <c r="LJS160" s="2"/>
      <c r="LJT160" s="14"/>
      <c r="LKE160" s="1"/>
      <c r="LKF160" s="1"/>
      <c r="LKG160" s="1"/>
      <c r="LKH160" s="2"/>
      <c r="LKI160" s="2"/>
      <c r="LKJ160" s="14"/>
      <c r="LKU160" s="1"/>
      <c r="LKV160" s="1"/>
      <c r="LKW160" s="1"/>
      <c r="LKX160" s="2"/>
      <c r="LKY160" s="2"/>
      <c r="LKZ160" s="14"/>
      <c r="LLK160" s="1"/>
      <c r="LLL160" s="1"/>
      <c r="LLM160" s="1"/>
      <c r="LLN160" s="2"/>
      <c r="LLO160" s="2"/>
      <c r="LLP160" s="14"/>
      <c r="LMA160" s="1"/>
      <c r="LMB160" s="1"/>
      <c r="LMC160" s="1"/>
      <c r="LMD160" s="2"/>
      <c r="LME160" s="2"/>
      <c r="LMF160" s="14"/>
      <c r="LMQ160" s="1"/>
      <c r="LMR160" s="1"/>
      <c r="LMS160" s="1"/>
      <c r="LMT160" s="2"/>
      <c r="LMU160" s="2"/>
      <c r="LMV160" s="14"/>
      <c r="LNG160" s="1"/>
      <c r="LNH160" s="1"/>
      <c r="LNI160" s="1"/>
      <c r="LNJ160" s="2"/>
      <c r="LNK160" s="2"/>
      <c r="LNL160" s="14"/>
      <c r="LNW160" s="1"/>
      <c r="LNX160" s="1"/>
      <c r="LNY160" s="1"/>
      <c r="LNZ160" s="2"/>
      <c r="LOA160" s="2"/>
      <c r="LOB160" s="14"/>
      <c r="LOM160" s="1"/>
      <c r="LON160" s="1"/>
      <c r="LOO160" s="1"/>
      <c r="LOP160" s="2"/>
      <c r="LOQ160" s="2"/>
      <c r="LOR160" s="14"/>
      <c r="LPC160" s="1"/>
      <c r="LPD160" s="1"/>
      <c r="LPE160" s="1"/>
      <c r="LPF160" s="2"/>
      <c r="LPG160" s="2"/>
      <c r="LPH160" s="14"/>
      <c r="LPS160" s="1"/>
      <c r="LPT160" s="1"/>
      <c r="LPU160" s="1"/>
      <c r="LPV160" s="2"/>
      <c r="LPW160" s="2"/>
      <c r="LPX160" s="14"/>
      <c r="LQI160" s="1"/>
      <c r="LQJ160" s="1"/>
      <c r="LQK160" s="1"/>
      <c r="LQL160" s="2"/>
      <c r="LQM160" s="2"/>
      <c r="LQN160" s="14"/>
      <c r="LQY160" s="1"/>
      <c r="LQZ160" s="1"/>
      <c r="LRA160" s="1"/>
      <c r="LRB160" s="2"/>
      <c r="LRC160" s="2"/>
      <c r="LRD160" s="14"/>
      <c r="LRO160" s="1"/>
      <c r="LRP160" s="1"/>
      <c r="LRQ160" s="1"/>
      <c r="LRR160" s="2"/>
      <c r="LRS160" s="2"/>
      <c r="LRT160" s="14"/>
      <c r="LSE160" s="1"/>
      <c r="LSF160" s="1"/>
      <c r="LSG160" s="1"/>
      <c r="LSH160" s="2"/>
      <c r="LSI160" s="2"/>
      <c r="LSJ160" s="14"/>
      <c r="LSU160" s="1"/>
      <c r="LSV160" s="1"/>
      <c r="LSW160" s="1"/>
      <c r="LSX160" s="2"/>
      <c r="LSY160" s="2"/>
      <c r="LSZ160" s="14"/>
      <c r="LTK160" s="1"/>
      <c r="LTL160" s="1"/>
      <c r="LTM160" s="1"/>
      <c r="LTN160" s="2"/>
      <c r="LTO160" s="2"/>
      <c r="LTP160" s="14"/>
      <c r="LUA160" s="1"/>
      <c r="LUB160" s="1"/>
      <c r="LUC160" s="1"/>
      <c r="LUD160" s="2"/>
      <c r="LUE160" s="2"/>
      <c r="LUF160" s="14"/>
      <c r="LUQ160" s="1"/>
      <c r="LUR160" s="1"/>
      <c r="LUS160" s="1"/>
      <c r="LUT160" s="2"/>
      <c r="LUU160" s="2"/>
      <c r="LUV160" s="14"/>
      <c r="LVG160" s="1"/>
      <c r="LVH160" s="1"/>
      <c r="LVI160" s="1"/>
      <c r="LVJ160" s="2"/>
      <c r="LVK160" s="2"/>
      <c r="LVL160" s="14"/>
      <c r="LVW160" s="1"/>
      <c r="LVX160" s="1"/>
      <c r="LVY160" s="1"/>
      <c r="LVZ160" s="2"/>
      <c r="LWA160" s="2"/>
      <c r="LWB160" s="14"/>
      <c r="LWM160" s="1"/>
      <c r="LWN160" s="1"/>
      <c r="LWO160" s="1"/>
      <c r="LWP160" s="2"/>
      <c r="LWQ160" s="2"/>
      <c r="LWR160" s="14"/>
      <c r="LXC160" s="1"/>
      <c r="LXD160" s="1"/>
      <c r="LXE160" s="1"/>
      <c r="LXF160" s="2"/>
      <c r="LXG160" s="2"/>
      <c r="LXH160" s="14"/>
      <c r="LXS160" s="1"/>
      <c r="LXT160" s="1"/>
      <c r="LXU160" s="1"/>
      <c r="LXV160" s="2"/>
      <c r="LXW160" s="2"/>
      <c r="LXX160" s="14"/>
      <c r="LYI160" s="1"/>
      <c r="LYJ160" s="1"/>
      <c r="LYK160" s="1"/>
      <c r="LYL160" s="2"/>
      <c r="LYM160" s="2"/>
      <c r="LYN160" s="14"/>
      <c r="LYY160" s="1"/>
      <c r="LYZ160" s="1"/>
      <c r="LZA160" s="1"/>
      <c r="LZB160" s="2"/>
      <c r="LZC160" s="2"/>
      <c r="LZD160" s="14"/>
      <c r="LZO160" s="1"/>
      <c r="LZP160" s="1"/>
      <c r="LZQ160" s="1"/>
      <c r="LZR160" s="2"/>
      <c r="LZS160" s="2"/>
      <c r="LZT160" s="14"/>
      <c r="MAE160" s="1"/>
      <c r="MAF160" s="1"/>
      <c r="MAG160" s="1"/>
      <c r="MAH160" s="2"/>
      <c r="MAI160" s="2"/>
      <c r="MAJ160" s="14"/>
      <c r="MAU160" s="1"/>
      <c r="MAV160" s="1"/>
      <c r="MAW160" s="1"/>
      <c r="MAX160" s="2"/>
      <c r="MAY160" s="2"/>
      <c r="MAZ160" s="14"/>
      <c r="MBK160" s="1"/>
      <c r="MBL160" s="1"/>
      <c r="MBM160" s="1"/>
      <c r="MBN160" s="2"/>
      <c r="MBO160" s="2"/>
      <c r="MBP160" s="14"/>
      <c r="MCA160" s="1"/>
      <c r="MCB160" s="1"/>
      <c r="MCC160" s="1"/>
      <c r="MCD160" s="2"/>
      <c r="MCE160" s="2"/>
      <c r="MCF160" s="14"/>
      <c r="MCQ160" s="1"/>
      <c r="MCR160" s="1"/>
      <c r="MCS160" s="1"/>
      <c r="MCT160" s="2"/>
      <c r="MCU160" s="2"/>
      <c r="MCV160" s="14"/>
      <c r="MDG160" s="1"/>
      <c r="MDH160" s="1"/>
      <c r="MDI160" s="1"/>
      <c r="MDJ160" s="2"/>
      <c r="MDK160" s="2"/>
      <c r="MDL160" s="14"/>
      <c r="MDW160" s="1"/>
      <c r="MDX160" s="1"/>
      <c r="MDY160" s="1"/>
      <c r="MDZ160" s="2"/>
      <c r="MEA160" s="2"/>
      <c r="MEB160" s="14"/>
      <c r="MEM160" s="1"/>
      <c r="MEN160" s="1"/>
      <c r="MEO160" s="1"/>
      <c r="MEP160" s="2"/>
      <c r="MEQ160" s="2"/>
      <c r="MER160" s="14"/>
      <c r="MFC160" s="1"/>
      <c r="MFD160" s="1"/>
      <c r="MFE160" s="1"/>
      <c r="MFF160" s="2"/>
      <c r="MFG160" s="2"/>
      <c r="MFH160" s="14"/>
      <c r="MFS160" s="1"/>
      <c r="MFT160" s="1"/>
      <c r="MFU160" s="1"/>
      <c r="MFV160" s="2"/>
      <c r="MFW160" s="2"/>
      <c r="MFX160" s="14"/>
      <c r="MGI160" s="1"/>
      <c r="MGJ160" s="1"/>
      <c r="MGK160" s="1"/>
      <c r="MGL160" s="2"/>
      <c r="MGM160" s="2"/>
      <c r="MGN160" s="14"/>
      <c r="MGY160" s="1"/>
      <c r="MGZ160" s="1"/>
      <c r="MHA160" s="1"/>
      <c r="MHB160" s="2"/>
      <c r="MHC160" s="2"/>
      <c r="MHD160" s="14"/>
      <c r="MHO160" s="1"/>
      <c r="MHP160" s="1"/>
      <c r="MHQ160" s="1"/>
      <c r="MHR160" s="2"/>
      <c r="MHS160" s="2"/>
      <c r="MHT160" s="14"/>
      <c r="MIE160" s="1"/>
      <c r="MIF160" s="1"/>
      <c r="MIG160" s="1"/>
      <c r="MIH160" s="2"/>
      <c r="MII160" s="2"/>
      <c r="MIJ160" s="14"/>
      <c r="MIU160" s="1"/>
      <c r="MIV160" s="1"/>
      <c r="MIW160" s="1"/>
      <c r="MIX160" s="2"/>
      <c r="MIY160" s="2"/>
      <c r="MIZ160" s="14"/>
      <c r="MJK160" s="1"/>
      <c r="MJL160" s="1"/>
      <c r="MJM160" s="1"/>
      <c r="MJN160" s="2"/>
      <c r="MJO160" s="2"/>
      <c r="MJP160" s="14"/>
      <c r="MKA160" s="1"/>
      <c r="MKB160" s="1"/>
      <c r="MKC160" s="1"/>
      <c r="MKD160" s="2"/>
      <c r="MKE160" s="2"/>
      <c r="MKF160" s="14"/>
      <c r="MKQ160" s="1"/>
      <c r="MKR160" s="1"/>
      <c r="MKS160" s="1"/>
      <c r="MKT160" s="2"/>
      <c r="MKU160" s="2"/>
      <c r="MKV160" s="14"/>
      <c r="MLG160" s="1"/>
      <c r="MLH160" s="1"/>
      <c r="MLI160" s="1"/>
      <c r="MLJ160" s="2"/>
      <c r="MLK160" s="2"/>
      <c r="MLL160" s="14"/>
      <c r="MLW160" s="1"/>
      <c r="MLX160" s="1"/>
      <c r="MLY160" s="1"/>
      <c r="MLZ160" s="2"/>
      <c r="MMA160" s="2"/>
      <c r="MMB160" s="14"/>
      <c r="MMM160" s="1"/>
      <c r="MMN160" s="1"/>
      <c r="MMO160" s="1"/>
      <c r="MMP160" s="2"/>
      <c r="MMQ160" s="2"/>
      <c r="MMR160" s="14"/>
      <c r="MNC160" s="1"/>
      <c r="MND160" s="1"/>
      <c r="MNE160" s="1"/>
      <c r="MNF160" s="2"/>
      <c r="MNG160" s="2"/>
      <c r="MNH160" s="14"/>
      <c r="MNS160" s="1"/>
      <c r="MNT160" s="1"/>
      <c r="MNU160" s="1"/>
      <c r="MNV160" s="2"/>
      <c r="MNW160" s="2"/>
      <c r="MNX160" s="14"/>
      <c r="MOI160" s="1"/>
      <c r="MOJ160" s="1"/>
      <c r="MOK160" s="1"/>
      <c r="MOL160" s="2"/>
      <c r="MOM160" s="2"/>
      <c r="MON160" s="14"/>
      <c r="MOY160" s="1"/>
      <c r="MOZ160" s="1"/>
      <c r="MPA160" s="1"/>
      <c r="MPB160" s="2"/>
      <c r="MPC160" s="2"/>
      <c r="MPD160" s="14"/>
      <c r="MPO160" s="1"/>
      <c r="MPP160" s="1"/>
      <c r="MPQ160" s="1"/>
      <c r="MPR160" s="2"/>
      <c r="MPS160" s="2"/>
      <c r="MPT160" s="14"/>
      <c r="MQE160" s="1"/>
      <c r="MQF160" s="1"/>
      <c r="MQG160" s="1"/>
      <c r="MQH160" s="2"/>
      <c r="MQI160" s="2"/>
      <c r="MQJ160" s="14"/>
      <c r="MQU160" s="1"/>
      <c r="MQV160" s="1"/>
      <c r="MQW160" s="1"/>
      <c r="MQX160" s="2"/>
      <c r="MQY160" s="2"/>
      <c r="MQZ160" s="14"/>
      <c r="MRK160" s="1"/>
      <c r="MRL160" s="1"/>
      <c r="MRM160" s="1"/>
      <c r="MRN160" s="2"/>
      <c r="MRO160" s="2"/>
      <c r="MRP160" s="14"/>
      <c r="MSA160" s="1"/>
      <c r="MSB160" s="1"/>
      <c r="MSC160" s="1"/>
      <c r="MSD160" s="2"/>
      <c r="MSE160" s="2"/>
      <c r="MSF160" s="14"/>
      <c r="MSQ160" s="1"/>
      <c r="MSR160" s="1"/>
      <c r="MSS160" s="1"/>
      <c r="MST160" s="2"/>
      <c r="MSU160" s="2"/>
      <c r="MSV160" s="14"/>
      <c r="MTG160" s="1"/>
      <c r="MTH160" s="1"/>
      <c r="MTI160" s="1"/>
      <c r="MTJ160" s="2"/>
      <c r="MTK160" s="2"/>
      <c r="MTL160" s="14"/>
      <c r="MTW160" s="1"/>
      <c r="MTX160" s="1"/>
      <c r="MTY160" s="1"/>
      <c r="MTZ160" s="2"/>
      <c r="MUA160" s="2"/>
      <c r="MUB160" s="14"/>
      <c r="MUM160" s="1"/>
      <c r="MUN160" s="1"/>
      <c r="MUO160" s="1"/>
      <c r="MUP160" s="2"/>
      <c r="MUQ160" s="2"/>
      <c r="MUR160" s="14"/>
      <c r="MVC160" s="1"/>
      <c r="MVD160" s="1"/>
      <c r="MVE160" s="1"/>
      <c r="MVF160" s="2"/>
      <c r="MVG160" s="2"/>
      <c r="MVH160" s="14"/>
      <c r="MVS160" s="1"/>
      <c r="MVT160" s="1"/>
      <c r="MVU160" s="1"/>
      <c r="MVV160" s="2"/>
      <c r="MVW160" s="2"/>
      <c r="MVX160" s="14"/>
      <c r="MWI160" s="1"/>
      <c r="MWJ160" s="1"/>
      <c r="MWK160" s="1"/>
      <c r="MWL160" s="2"/>
      <c r="MWM160" s="2"/>
      <c r="MWN160" s="14"/>
      <c r="MWY160" s="1"/>
      <c r="MWZ160" s="1"/>
      <c r="MXA160" s="1"/>
      <c r="MXB160" s="2"/>
      <c r="MXC160" s="2"/>
      <c r="MXD160" s="14"/>
      <c r="MXO160" s="1"/>
      <c r="MXP160" s="1"/>
      <c r="MXQ160" s="1"/>
      <c r="MXR160" s="2"/>
      <c r="MXS160" s="2"/>
      <c r="MXT160" s="14"/>
      <c r="MYE160" s="1"/>
      <c r="MYF160" s="1"/>
      <c r="MYG160" s="1"/>
      <c r="MYH160" s="2"/>
      <c r="MYI160" s="2"/>
      <c r="MYJ160" s="14"/>
      <c r="MYU160" s="1"/>
      <c r="MYV160" s="1"/>
      <c r="MYW160" s="1"/>
      <c r="MYX160" s="2"/>
      <c r="MYY160" s="2"/>
      <c r="MYZ160" s="14"/>
      <c r="MZK160" s="1"/>
      <c r="MZL160" s="1"/>
      <c r="MZM160" s="1"/>
      <c r="MZN160" s="2"/>
      <c r="MZO160" s="2"/>
      <c r="MZP160" s="14"/>
      <c r="NAA160" s="1"/>
      <c r="NAB160" s="1"/>
      <c r="NAC160" s="1"/>
      <c r="NAD160" s="2"/>
      <c r="NAE160" s="2"/>
      <c r="NAF160" s="14"/>
      <c r="NAQ160" s="1"/>
      <c r="NAR160" s="1"/>
      <c r="NAS160" s="1"/>
      <c r="NAT160" s="2"/>
      <c r="NAU160" s="2"/>
      <c r="NAV160" s="14"/>
      <c r="NBG160" s="1"/>
      <c r="NBH160" s="1"/>
      <c r="NBI160" s="1"/>
      <c r="NBJ160" s="2"/>
      <c r="NBK160" s="2"/>
      <c r="NBL160" s="14"/>
      <c r="NBW160" s="1"/>
      <c r="NBX160" s="1"/>
      <c r="NBY160" s="1"/>
      <c r="NBZ160" s="2"/>
      <c r="NCA160" s="2"/>
      <c r="NCB160" s="14"/>
      <c r="NCM160" s="1"/>
      <c r="NCN160" s="1"/>
      <c r="NCO160" s="1"/>
      <c r="NCP160" s="2"/>
      <c r="NCQ160" s="2"/>
      <c r="NCR160" s="14"/>
      <c r="NDC160" s="1"/>
      <c r="NDD160" s="1"/>
      <c r="NDE160" s="1"/>
      <c r="NDF160" s="2"/>
      <c r="NDG160" s="2"/>
      <c r="NDH160" s="14"/>
      <c r="NDS160" s="1"/>
      <c r="NDT160" s="1"/>
      <c r="NDU160" s="1"/>
      <c r="NDV160" s="2"/>
      <c r="NDW160" s="2"/>
      <c r="NDX160" s="14"/>
      <c r="NEI160" s="1"/>
      <c r="NEJ160" s="1"/>
      <c r="NEK160" s="1"/>
      <c r="NEL160" s="2"/>
      <c r="NEM160" s="2"/>
      <c r="NEN160" s="14"/>
      <c r="NEY160" s="1"/>
      <c r="NEZ160" s="1"/>
      <c r="NFA160" s="1"/>
      <c r="NFB160" s="2"/>
      <c r="NFC160" s="2"/>
      <c r="NFD160" s="14"/>
      <c r="NFO160" s="1"/>
      <c r="NFP160" s="1"/>
      <c r="NFQ160" s="1"/>
      <c r="NFR160" s="2"/>
      <c r="NFS160" s="2"/>
      <c r="NFT160" s="14"/>
      <c r="NGE160" s="1"/>
      <c r="NGF160" s="1"/>
      <c r="NGG160" s="1"/>
      <c r="NGH160" s="2"/>
      <c r="NGI160" s="2"/>
      <c r="NGJ160" s="14"/>
      <c r="NGU160" s="1"/>
      <c r="NGV160" s="1"/>
      <c r="NGW160" s="1"/>
      <c r="NGX160" s="2"/>
      <c r="NGY160" s="2"/>
      <c r="NGZ160" s="14"/>
      <c r="NHK160" s="1"/>
      <c r="NHL160" s="1"/>
      <c r="NHM160" s="1"/>
      <c r="NHN160" s="2"/>
      <c r="NHO160" s="2"/>
      <c r="NHP160" s="14"/>
      <c r="NIA160" s="1"/>
      <c r="NIB160" s="1"/>
      <c r="NIC160" s="1"/>
      <c r="NID160" s="2"/>
      <c r="NIE160" s="2"/>
      <c r="NIF160" s="14"/>
      <c r="NIQ160" s="1"/>
      <c r="NIR160" s="1"/>
      <c r="NIS160" s="1"/>
      <c r="NIT160" s="2"/>
      <c r="NIU160" s="2"/>
      <c r="NIV160" s="14"/>
      <c r="NJG160" s="1"/>
      <c r="NJH160" s="1"/>
      <c r="NJI160" s="1"/>
      <c r="NJJ160" s="2"/>
      <c r="NJK160" s="2"/>
      <c r="NJL160" s="14"/>
      <c r="NJW160" s="1"/>
      <c r="NJX160" s="1"/>
      <c r="NJY160" s="1"/>
      <c r="NJZ160" s="2"/>
      <c r="NKA160" s="2"/>
      <c r="NKB160" s="14"/>
      <c r="NKM160" s="1"/>
      <c r="NKN160" s="1"/>
      <c r="NKO160" s="1"/>
      <c r="NKP160" s="2"/>
      <c r="NKQ160" s="2"/>
      <c r="NKR160" s="14"/>
      <c r="NLC160" s="1"/>
      <c r="NLD160" s="1"/>
      <c r="NLE160" s="1"/>
      <c r="NLF160" s="2"/>
      <c r="NLG160" s="2"/>
      <c r="NLH160" s="14"/>
      <c r="NLS160" s="1"/>
      <c r="NLT160" s="1"/>
      <c r="NLU160" s="1"/>
      <c r="NLV160" s="2"/>
      <c r="NLW160" s="2"/>
      <c r="NLX160" s="14"/>
      <c r="NMI160" s="1"/>
      <c r="NMJ160" s="1"/>
      <c r="NMK160" s="1"/>
      <c r="NML160" s="2"/>
      <c r="NMM160" s="2"/>
      <c r="NMN160" s="14"/>
      <c r="NMY160" s="1"/>
      <c r="NMZ160" s="1"/>
      <c r="NNA160" s="1"/>
      <c r="NNB160" s="2"/>
      <c r="NNC160" s="2"/>
      <c r="NND160" s="14"/>
      <c r="NNO160" s="1"/>
      <c r="NNP160" s="1"/>
      <c r="NNQ160" s="1"/>
      <c r="NNR160" s="2"/>
      <c r="NNS160" s="2"/>
      <c r="NNT160" s="14"/>
      <c r="NOE160" s="1"/>
      <c r="NOF160" s="1"/>
      <c r="NOG160" s="1"/>
      <c r="NOH160" s="2"/>
      <c r="NOI160" s="2"/>
      <c r="NOJ160" s="14"/>
      <c r="NOU160" s="1"/>
      <c r="NOV160" s="1"/>
      <c r="NOW160" s="1"/>
      <c r="NOX160" s="2"/>
      <c r="NOY160" s="2"/>
      <c r="NOZ160" s="14"/>
      <c r="NPK160" s="1"/>
      <c r="NPL160" s="1"/>
      <c r="NPM160" s="1"/>
      <c r="NPN160" s="2"/>
      <c r="NPO160" s="2"/>
      <c r="NPP160" s="14"/>
      <c r="NQA160" s="1"/>
      <c r="NQB160" s="1"/>
      <c r="NQC160" s="1"/>
      <c r="NQD160" s="2"/>
      <c r="NQE160" s="2"/>
      <c r="NQF160" s="14"/>
      <c r="NQQ160" s="1"/>
      <c r="NQR160" s="1"/>
      <c r="NQS160" s="1"/>
      <c r="NQT160" s="2"/>
      <c r="NQU160" s="2"/>
      <c r="NQV160" s="14"/>
      <c r="NRG160" s="1"/>
      <c r="NRH160" s="1"/>
      <c r="NRI160" s="1"/>
      <c r="NRJ160" s="2"/>
      <c r="NRK160" s="2"/>
      <c r="NRL160" s="14"/>
      <c r="NRW160" s="1"/>
      <c r="NRX160" s="1"/>
      <c r="NRY160" s="1"/>
      <c r="NRZ160" s="2"/>
      <c r="NSA160" s="2"/>
      <c r="NSB160" s="14"/>
      <c r="NSM160" s="1"/>
      <c r="NSN160" s="1"/>
      <c r="NSO160" s="1"/>
      <c r="NSP160" s="2"/>
      <c r="NSQ160" s="2"/>
      <c r="NSR160" s="14"/>
      <c r="NTC160" s="1"/>
      <c r="NTD160" s="1"/>
      <c r="NTE160" s="1"/>
      <c r="NTF160" s="2"/>
      <c r="NTG160" s="2"/>
      <c r="NTH160" s="14"/>
      <c r="NTS160" s="1"/>
      <c r="NTT160" s="1"/>
      <c r="NTU160" s="1"/>
      <c r="NTV160" s="2"/>
      <c r="NTW160" s="2"/>
      <c r="NTX160" s="14"/>
      <c r="NUI160" s="1"/>
      <c r="NUJ160" s="1"/>
      <c r="NUK160" s="1"/>
      <c r="NUL160" s="2"/>
      <c r="NUM160" s="2"/>
      <c r="NUN160" s="14"/>
      <c r="NUY160" s="1"/>
      <c r="NUZ160" s="1"/>
      <c r="NVA160" s="1"/>
      <c r="NVB160" s="2"/>
      <c r="NVC160" s="2"/>
      <c r="NVD160" s="14"/>
      <c r="NVO160" s="1"/>
      <c r="NVP160" s="1"/>
      <c r="NVQ160" s="1"/>
      <c r="NVR160" s="2"/>
      <c r="NVS160" s="2"/>
      <c r="NVT160" s="14"/>
      <c r="NWE160" s="1"/>
      <c r="NWF160" s="1"/>
      <c r="NWG160" s="1"/>
      <c r="NWH160" s="2"/>
      <c r="NWI160" s="2"/>
      <c r="NWJ160" s="14"/>
      <c r="NWU160" s="1"/>
      <c r="NWV160" s="1"/>
      <c r="NWW160" s="1"/>
      <c r="NWX160" s="2"/>
      <c r="NWY160" s="2"/>
      <c r="NWZ160" s="14"/>
      <c r="NXK160" s="1"/>
      <c r="NXL160" s="1"/>
      <c r="NXM160" s="1"/>
      <c r="NXN160" s="2"/>
      <c r="NXO160" s="2"/>
      <c r="NXP160" s="14"/>
      <c r="NYA160" s="1"/>
      <c r="NYB160" s="1"/>
      <c r="NYC160" s="1"/>
      <c r="NYD160" s="2"/>
      <c r="NYE160" s="2"/>
      <c r="NYF160" s="14"/>
      <c r="NYQ160" s="1"/>
      <c r="NYR160" s="1"/>
      <c r="NYS160" s="1"/>
      <c r="NYT160" s="2"/>
      <c r="NYU160" s="2"/>
      <c r="NYV160" s="14"/>
      <c r="NZG160" s="1"/>
      <c r="NZH160" s="1"/>
      <c r="NZI160" s="1"/>
      <c r="NZJ160" s="2"/>
      <c r="NZK160" s="2"/>
      <c r="NZL160" s="14"/>
      <c r="NZW160" s="1"/>
      <c r="NZX160" s="1"/>
      <c r="NZY160" s="1"/>
      <c r="NZZ160" s="2"/>
      <c r="OAA160" s="2"/>
      <c r="OAB160" s="14"/>
      <c r="OAM160" s="1"/>
      <c r="OAN160" s="1"/>
      <c r="OAO160" s="1"/>
      <c r="OAP160" s="2"/>
      <c r="OAQ160" s="2"/>
      <c r="OAR160" s="14"/>
      <c r="OBC160" s="1"/>
      <c r="OBD160" s="1"/>
      <c r="OBE160" s="1"/>
      <c r="OBF160" s="2"/>
      <c r="OBG160" s="2"/>
      <c r="OBH160" s="14"/>
      <c r="OBS160" s="1"/>
      <c r="OBT160" s="1"/>
      <c r="OBU160" s="1"/>
      <c r="OBV160" s="2"/>
      <c r="OBW160" s="2"/>
      <c r="OBX160" s="14"/>
      <c r="OCI160" s="1"/>
      <c r="OCJ160" s="1"/>
      <c r="OCK160" s="1"/>
      <c r="OCL160" s="2"/>
      <c r="OCM160" s="2"/>
      <c r="OCN160" s="14"/>
      <c r="OCY160" s="1"/>
      <c r="OCZ160" s="1"/>
      <c r="ODA160" s="1"/>
      <c r="ODB160" s="2"/>
      <c r="ODC160" s="2"/>
      <c r="ODD160" s="14"/>
      <c r="ODO160" s="1"/>
      <c r="ODP160" s="1"/>
      <c r="ODQ160" s="1"/>
      <c r="ODR160" s="2"/>
      <c r="ODS160" s="2"/>
      <c r="ODT160" s="14"/>
      <c r="OEE160" s="1"/>
      <c r="OEF160" s="1"/>
      <c r="OEG160" s="1"/>
      <c r="OEH160" s="2"/>
      <c r="OEI160" s="2"/>
      <c r="OEJ160" s="14"/>
      <c r="OEU160" s="1"/>
      <c r="OEV160" s="1"/>
      <c r="OEW160" s="1"/>
      <c r="OEX160" s="2"/>
      <c r="OEY160" s="2"/>
      <c r="OEZ160" s="14"/>
      <c r="OFK160" s="1"/>
      <c r="OFL160" s="1"/>
      <c r="OFM160" s="1"/>
      <c r="OFN160" s="2"/>
      <c r="OFO160" s="2"/>
      <c r="OFP160" s="14"/>
      <c r="OGA160" s="1"/>
      <c r="OGB160" s="1"/>
      <c r="OGC160" s="1"/>
      <c r="OGD160" s="2"/>
      <c r="OGE160" s="2"/>
      <c r="OGF160" s="14"/>
      <c r="OGQ160" s="1"/>
      <c r="OGR160" s="1"/>
      <c r="OGS160" s="1"/>
      <c r="OGT160" s="2"/>
      <c r="OGU160" s="2"/>
      <c r="OGV160" s="14"/>
      <c r="OHG160" s="1"/>
      <c r="OHH160" s="1"/>
      <c r="OHI160" s="1"/>
      <c r="OHJ160" s="2"/>
      <c r="OHK160" s="2"/>
      <c r="OHL160" s="14"/>
      <c r="OHW160" s="1"/>
      <c r="OHX160" s="1"/>
      <c r="OHY160" s="1"/>
      <c r="OHZ160" s="2"/>
      <c r="OIA160" s="2"/>
      <c r="OIB160" s="14"/>
      <c r="OIM160" s="1"/>
      <c r="OIN160" s="1"/>
      <c r="OIO160" s="1"/>
      <c r="OIP160" s="2"/>
      <c r="OIQ160" s="2"/>
      <c r="OIR160" s="14"/>
      <c r="OJC160" s="1"/>
      <c r="OJD160" s="1"/>
      <c r="OJE160" s="1"/>
      <c r="OJF160" s="2"/>
      <c r="OJG160" s="2"/>
      <c r="OJH160" s="14"/>
      <c r="OJS160" s="1"/>
      <c r="OJT160" s="1"/>
      <c r="OJU160" s="1"/>
      <c r="OJV160" s="2"/>
      <c r="OJW160" s="2"/>
      <c r="OJX160" s="14"/>
      <c r="OKI160" s="1"/>
      <c r="OKJ160" s="1"/>
      <c r="OKK160" s="1"/>
      <c r="OKL160" s="2"/>
      <c r="OKM160" s="2"/>
      <c r="OKN160" s="14"/>
      <c r="OKY160" s="1"/>
      <c r="OKZ160" s="1"/>
      <c r="OLA160" s="1"/>
      <c r="OLB160" s="2"/>
      <c r="OLC160" s="2"/>
      <c r="OLD160" s="14"/>
      <c r="OLO160" s="1"/>
      <c r="OLP160" s="1"/>
      <c r="OLQ160" s="1"/>
      <c r="OLR160" s="2"/>
      <c r="OLS160" s="2"/>
      <c r="OLT160" s="14"/>
      <c r="OME160" s="1"/>
      <c r="OMF160" s="1"/>
      <c r="OMG160" s="1"/>
      <c r="OMH160" s="2"/>
      <c r="OMI160" s="2"/>
      <c r="OMJ160" s="14"/>
      <c r="OMU160" s="1"/>
      <c r="OMV160" s="1"/>
      <c r="OMW160" s="1"/>
      <c r="OMX160" s="2"/>
      <c r="OMY160" s="2"/>
      <c r="OMZ160" s="14"/>
      <c r="ONK160" s="1"/>
      <c r="ONL160" s="1"/>
      <c r="ONM160" s="1"/>
      <c r="ONN160" s="2"/>
      <c r="ONO160" s="2"/>
      <c r="ONP160" s="14"/>
      <c r="OOA160" s="1"/>
      <c r="OOB160" s="1"/>
      <c r="OOC160" s="1"/>
      <c r="OOD160" s="2"/>
      <c r="OOE160" s="2"/>
      <c r="OOF160" s="14"/>
      <c r="OOQ160" s="1"/>
      <c r="OOR160" s="1"/>
      <c r="OOS160" s="1"/>
      <c r="OOT160" s="2"/>
      <c r="OOU160" s="2"/>
      <c r="OOV160" s="14"/>
      <c r="OPG160" s="1"/>
      <c r="OPH160" s="1"/>
      <c r="OPI160" s="1"/>
      <c r="OPJ160" s="2"/>
      <c r="OPK160" s="2"/>
      <c r="OPL160" s="14"/>
      <c r="OPW160" s="1"/>
      <c r="OPX160" s="1"/>
      <c r="OPY160" s="1"/>
      <c r="OPZ160" s="2"/>
      <c r="OQA160" s="2"/>
      <c r="OQB160" s="14"/>
      <c r="OQM160" s="1"/>
      <c r="OQN160" s="1"/>
      <c r="OQO160" s="1"/>
      <c r="OQP160" s="2"/>
      <c r="OQQ160" s="2"/>
      <c r="OQR160" s="14"/>
      <c r="ORC160" s="1"/>
      <c r="ORD160" s="1"/>
      <c r="ORE160" s="1"/>
      <c r="ORF160" s="2"/>
      <c r="ORG160" s="2"/>
      <c r="ORH160" s="14"/>
      <c r="ORS160" s="1"/>
      <c r="ORT160" s="1"/>
      <c r="ORU160" s="1"/>
      <c r="ORV160" s="2"/>
      <c r="ORW160" s="2"/>
      <c r="ORX160" s="14"/>
      <c r="OSI160" s="1"/>
      <c r="OSJ160" s="1"/>
      <c r="OSK160" s="1"/>
      <c r="OSL160" s="2"/>
      <c r="OSM160" s="2"/>
      <c r="OSN160" s="14"/>
      <c r="OSY160" s="1"/>
      <c r="OSZ160" s="1"/>
      <c r="OTA160" s="1"/>
      <c r="OTB160" s="2"/>
      <c r="OTC160" s="2"/>
      <c r="OTD160" s="14"/>
      <c r="OTO160" s="1"/>
      <c r="OTP160" s="1"/>
      <c r="OTQ160" s="1"/>
      <c r="OTR160" s="2"/>
      <c r="OTS160" s="2"/>
      <c r="OTT160" s="14"/>
      <c r="OUE160" s="1"/>
      <c r="OUF160" s="1"/>
      <c r="OUG160" s="1"/>
      <c r="OUH160" s="2"/>
      <c r="OUI160" s="2"/>
      <c r="OUJ160" s="14"/>
      <c r="OUU160" s="1"/>
      <c r="OUV160" s="1"/>
      <c r="OUW160" s="1"/>
      <c r="OUX160" s="2"/>
      <c r="OUY160" s="2"/>
      <c r="OUZ160" s="14"/>
      <c r="OVK160" s="1"/>
      <c r="OVL160" s="1"/>
      <c r="OVM160" s="1"/>
      <c r="OVN160" s="2"/>
      <c r="OVO160" s="2"/>
      <c r="OVP160" s="14"/>
      <c r="OWA160" s="1"/>
      <c r="OWB160" s="1"/>
      <c r="OWC160" s="1"/>
      <c r="OWD160" s="2"/>
      <c r="OWE160" s="2"/>
      <c r="OWF160" s="14"/>
      <c r="OWQ160" s="1"/>
      <c r="OWR160" s="1"/>
      <c r="OWS160" s="1"/>
      <c r="OWT160" s="2"/>
      <c r="OWU160" s="2"/>
      <c r="OWV160" s="14"/>
      <c r="OXG160" s="1"/>
      <c r="OXH160" s="1"/>
      <c r="OXI160" s="1"/>
      <c r="OXJ160" s="2"/>
      <c r="OXK160" s="2"/>
      <c r="OXL160" s="14"/>
      <c r="OXW160" s="1"/>
      <c r="OXX160" s="1"/>
      <c r="OXY160" s="1"/>
      <c r="OXZ160" s="2"/>
      <c r="OYA160" s="2"/>
      <c r="OYB160" s="14"/>
      <c r="OYM160" s="1"/>
      <c r="OYN160" s="1"/>
      <c r="OYO160" s="1"/>
      <c r="OYP160" s="2"/>
      <c r="OYQ160" s="2"/>
      <c r="OYR160" s="14"/>
      <c r="OZC160" s="1"/>
      <c r="OZD160" s="1"/>
      <c r="OZE160" s="1"/>
      <c r="OZF160" s="2"/>
      <c r="OZG160" s="2"/>
      <c r="OZH160" s="14"/>
      <c r="OZS160" s="1"/>
      <c r="OZT160" s="1"/>
      <c r="OZU160" s="1"/>
      <c r="OZV160" s="2"/>
      <c r="OZW160" s="2"/>
      <c r="OZX160" s="14"/>
      <c r="PAI160" s="1"/>
      <c r="PAJ160" s="1"/>
      <c r="PAK160" s="1"/>
      <c r="PAL160" s="2"/>
      <c r="PAM160" s="2"/>
      <c r="PAN160" s="14"/>
      <c r="PAY160" s="1"/>
      <c r="PAZ160" s="1"/>
      <c r="PBA160" s="1"/>
      <c r="PBB160" s="2"/>
      <c r="PBC160" s="2"/>
      <c r="PBD160" s="14"/>
      <c r="PBO160" s="1"/>
      <c r="PBP160" s="1"/>
      <c r="PBQ160" s="1"/>
      <c r="PBR160" s="2"/>
      <c r="PBS160" s="2"/>
      <c r="PBT160" s="14"/>
      <c r="PCE160" s="1"/>
      <c r="PCF160" s="1"/>
      <c r="PCG160" s="1"/>
      <c r="PCH160" s="2"/>
      <c r="PCI160" s="2"/>
      <c r="PCJ160" s="14"/>
      <c r="PCU160" s="1"/>
      <c r="PCV160" s="1"/>
      <c r="PCW160" s="1"/>
      <c r="PCX160" s="2"/>
      <c r="PCY160" s="2"/>
      <c r="PCZ160" s="14"/>
      <c r="PDK160" s="1"/>
      <c r="PDL160" s="1"/>
      <c r="PDM160" s="1"/>
      <c r="PDN160" s="2"/>
      <c r="PDO160" s="2"/>
      <c r="PDP160" s="14"/>
      <c r="PEA160" s="1"/>
      <c r="PEB160" s="1"/>
      <c r="PEC160" s="1"/>
      <c r="PED160" s="2"/>
      <c r="PEE160" s="2"/>
      <c r="PEF160" s="14"/>
      <c r="PEQ160" s="1"/>
      <c r="PER160" s="1"/>
      <c r="PES160" s="1"/>
      <c r="PET160" s="2"/>
      <c r="PEU160" s="2"/>
      <c r="PEV160" s="14"/>
      <c r="PFG160" s="1"/>
      <c r="PFH160" s="1"/>
      <c r="PFI160" s="1"/>
      <c r="PFJ160" s="2"/>
      <c r="PFK160" s="2"/>
      <c r="PFL160" s="14"/>
      <c r="PFW160" s="1"/>
      <c r="PFX160" s="1"/>
      <c r="PFY160" s="1"/>
      <c r="PFZ160" s="2"/>
      <c r="PGA160" s="2"/>
      <c r="PGB160" s="14"/>
      <c r="PGM160" s="1"/>
      <c r="PGN160" s="1"/>
      <c r="PGO160" s="1"/>
      <c r="PGP160" s="2"/>
      <c r="PGQ160" s="2"/>
      <c r="PGR160" s="14"/>
      <c r="PHC160" s="1"/>
      <c r="PHD160" s="1"/>
      <c r="PHE160" s="1"/>
      <c r="PHF160" s="2"/>
      <c r="PHG160" s="2"/>
      <c r="PHH160" s="14"/>
      <c r="PHS160" s="1"/>
      <c r="PHT160" s="1"/>
      <c r="PHU160" s="1"/>
      <c r="PHV160" s="2"/>
      <c r="PHW160" s="2"/>
      <c r="PHX160" s="14"/>
      <c r="PII160" s="1"/>
      <c r="PIJ160" s="1"/>
      <c r="PIK160" s="1"/>
      <c r="PIL160" s="2"/>
      <c r="PIM160" s="2"/>
      <c r="PIN160" s="14"/>
      <c r="PIY160" s="1"/>
      <c r="PIZ160" s="1"/>
      <c r="PJA160" s="1"/>
      <c r="PJB160" s="2"/>
      <c r="PJC160" s="2"/>
      <c r="PJD160" s="14"/>
      <c r="PJO160" s="1"/>
      <c r="PJP160" s="1"/>
      <c r="PJQ160" s="1"/>
      <c r="PJR160" s="2"/>
      <c r="PJS160" s="2"/>
      <c r="PJT160" s="14"/>
      <c r="PKE160" s="1"/>
      <c r="PKF160" s="1"/>
      <c r="PKG160" s="1"/>
      <c r="PKH160" s="2"/>
      <c r="PKI160" s="2"/>
      <c r="PKJ160" s="14"/>
      <c r="PKU160" s="1"/>
      <c r="PKV160" s="1"/>
      <c r="PKW160" s="1"/>
      <c r="PKX160" s="2"/>
      <c r="PKY160" s="2"/>
      <c r="PKZ160" s="14"/>
      <c r="PLK160" s="1"/>
      <c r="PLL160" s="1"/>
      <c r="PLM160" s="1"/>
      <c r="PLN160" s="2"/>
      <c r="PLO160" s="2"/>
      <c r="PLP160" s="14"/>
      <c r="PMA160" s="1"/>
      <c r="PMB160" s="1"/>
      <c r="PMC160" s="1"/>
      <c r="PMD160" s="2"/>
      <c r="PME160" s="2"/>
      <c r="PMF160" s="14"/>
      <c r="PMQ160" s="1"/>
      <c r="PMR160" s="1"/>
      <c r="PMS160" s="1"/>
      <c r="PMT160" s="2"/>
      <c r="PMU160" s="2"/>
      <c r="PMV160" s="14"/>
      <c r="PNG160" s="1"/>
      <c r="PNH160" s="1"/>
      <c r="PNI160" s="1"/>
      <c r="PNJ160" s="2"/>
      <c r="PNK160" s="2"/>
      <c r="PNL160" s="14"/>
      <c r="PNW160" s="1"/>
      <c r="PNX160" s="1"/>
      <c r="PNY160" s="1"/>
      <c r="PNZ160" s="2"/>
      <c r="POA160" s="2"/>
      <c r="POB160" s="14"/>
      <c r="POM160" s="1"/>
      <c r="PON160" s="1"/>
      <c r="POO160" s="1"/>
      <c r="POP160" s="2"/>
      <c r="POQ160" s="2"/>
      <c r="POR160" s="14"/>
      <c r="PPC160" s="1"/>
      <c r="PPD160" s="1"/>
      <c r="PPE160" s="1"/>
      <c r="PPF160" s="2"/>
      <c r="PPG160" s="2"/>
      <c r="PPH160" s="14"/>
      <c r="PPS160" s="1"/>
      <c r="PPT160" s="1"/>
      <c r="PPU160" s="1"/>
      <c r="PPV160" s="2"/>
      <c r="PPW160" s="2"/>
      <c r="PPX160" s="14"/>
      <c r="PQI160" s="1"/>
      <c r="PQJ160" s="1"/>
      <c r="PQK160" s="1"/>
      <c r="PQL160" s="2"/>
      <c r="PQM160" s="2"/>
      <c r="PQN160" s="14"/>
      <c r="PQY160" s="1"/>
      <c r="PQZ160" s="1"/>
      <c r="PRA160" s="1"/>
      <c r="PRB160" s="2"/>
      <c r="PRC160" s="2"/>
      <c r="PRD160" s="14"/>
      <c r="PRO160" s="1"/>
      <c r="PRP160" s="1"/>
      <c r="PRQ160" s="1"/>
      <c r="PRR160" s="2"/>
      <c r="PRS160" s="2"/>
      <c r="PRT160" s="14"/>
      <c r="PSE160" s="1"/>
      <c r="PSF160" s="1"/>
      <c r="PSG160" s="1"/>
      <c r="PSH160" s="2"/>
      <c r="PSI160" s="2"/>
      <c r="PSJ160" s="14"/>
      <c r="PSU160" s="1"/>
      <c r="PSV160" s="1"/>
      <c r="PSW160" s="1"/>
      <c r="PSX160" s="2"/>
      <c r="PSY160" s="2"/>
      <c r="PSZ160" s="14"/>
      <c r="PTK160" s="1"/>
      <c r="PTL160" s="1"/>
      <c r="PTM160" s="1"/>
      <c r="PTN160" s="2"/>
      <c r="PTO160" s="2"/>
      <c r="PTP160" s="14"/>
      <c r="PUA160" s="1"/>
      <c r="PUB160" s="1"/>
      <c r="PUC160" s="1"/>
      <c r="PUD160" s="2"/>
      <c r="PUE160" s="2"/>
      <c r="PUF160" s="14"/>
      <c r="PUQ160" s="1"/>
      <c r="PUR160" s="1"/>
      <c r="PUS160" s="1"/>
      <c r="PUT160" s="2"/>
      <c r="PUU160" s="2"/>
      <c r="PUV160" s="14"/>
      <c r="PVG160" s="1"/>
      <c r="PVH160" s="1"/>
      <c r="PVI160" s="1"/>
      <c r="PVJ160" s="2"/>
      <c r="PVK160" s="2"/>
      <c r="PVL160" s="14"/>
      <c r="PVW160" s="1"/>
      <c r="PVX160" s="1"/>
      <c r="PVY160" s="1"/>
      <c r="PVZ160" s="2"/>
      <c r="PWA160" s="2"/>
      <c r="PWB160" s="14"/>
      <c r="PWM160" s="1"/>
      <c r="PWN160" s="1"/>
      <c r="PWO160" s="1"/>
      <c r="PWP160" s="2"/>
      <c r="PWQ160" s="2"/>
      <c r="PWR160" s="14"/>
      <c r="PXC160" s="1"/>
      <c r="PXD160" s="1"/>
      <c r="PXE160" s="1"/>
      <c r="PXF160" s="2"/>
      <c r="PXG160" s="2"/>
      <c r="PXH160" s="14"/>
      <c r="PXS160" s="1"/>
      <c r="PXT160" s="1"/>
      <c r="PXU160" s="1"/>
      <c r="PXV160" s="2"/>
      <c r="PXW160" s="2"/>
      <c r="PXX160" s="14"/>
      <c r="PYI160" s="1"/>
      <c r="PYJ160" s="1"/>
      <c r="PYK160" s="1"/>
      <c r="PYL160" s="2"/>
      <c r="PYM160" s="2"/>
      <c r="PYN160" s="14"/>
      <c r="PYY160" s="1"/>
      <c r="PYZ160" s="1"/>
      <c r="PZA160" s="1"/>
      <c r="PZB160" s="2"/>
      <c r="PZC160" s="2"/>
      <c r="PZD160" s="14"/>
      <c r="PZO160" s="1"/>
      <c r="PZP160" s="1"/>
      <c r="PZQ160" s="1"/>
      <c r="PZR160" s="2"/>
      <c r="PZS160" s="2"/>
      <c r="PZT160" s="14"/>
      <c r="QAE160" s="1"/>
      <c r="QAF160" s="1"/>
      <c r="QAG160" s="1"/>
      <c r="QAH160" s="2"/>
      <c r="QAI160" s="2"/>
      <c r="QAJ160" s="14"/>
      <c r="QAU160" s="1"/>
      <c r="QAV160" s="1"/>
      <c r="QAW160" s="1"/>
      <c r="QAX160" s="2"/>
      <c r="QAY160" s="2"/>
      <c r="QAZ160" s="14"/>
      <c r="QBK160" s="1"/>
      <c r="QBL160" s="1"/>
      <c r="QBM160" s="1"/>
      <c r="QBN160" s="2"/>
      <c r="QBO160" s="2"/>
      <c r="QBP160" s="14"/>
      <c r="QCA160" s="1"/>
      <c r="QCB160" s="1"/>
      <c r="QCC160" s="1"/>
      <c r="QCD160" s="2"/>
      <c r="QCE160" s="2"/>
      <c r="QCF160" s="14"/>
      <c r="QCQ160" s="1"/>
      <c r="QCR160" s="1"/>
      <c r="QCS160" s="1"/>
      <c r="QCT160" s="2"/>
      <c r="QCU160" s="2"/>
      <c r="QCV160" s="14"/>
      <c r="QDG160" s="1"/>
      <c r="QDH160" s="1"/>
      <c r="QDI160" s="1"/>
      <c r="QDJ160" s="2"/>
      <c r="QDK160" s="2"/>
      <c r="QDL160" s="14"/>
      <c r="QDW160" s="1"/>
      <c r="QDX160" s="1"/>
      <c r="QDY160" s="1"/>
      <c r="QDZ160" s="2"/>
      <c r="QEA160" s="2"/>
      <c r="QEB160" s="14"/>
      <c r="QEM160" s="1"/>
      <c r="QEN160" s="1"/>
      <c r="QEO160" s="1"/>
      <c r="QEP160" s="2"/>
      <c r="QEQ160" s="2"/>
      <c r="QER160" s="14"/>
      <c r="QFC160" s="1"/>
      <c r="QFD160" s="1"/>
      <c r="QFE160" s="1"/>
      <c r="QFF160" s="2"/>
      <c r="QFG160" s="2"/>
      <c r="QFH160" s="14"/>
      <c r="QFS160" s="1"/>
      <c r="QFT160" s="1"/>
      <c r="QFU160" s="1"/>
      <c r="QFV160" s="2"/>
      <c r="QFW160" s="2"/>
      <c r="QFX160" s="14"/>
      <c r="QGI160" s="1"/>
      <c r="QGJ160" s="1"/>
      <c r="QGK160" s="1"/>
      <c r="QGL160" s="2"/>
      <c r="QGM160" s="2"/>
      <c r="QGN160" s="14"/>
      <c r="QGY160" s="1"/>
      <c r="QGZ160" s="1"/>
      <c r="QHA160" s="1"/>
      <c r="QHB160" s="2"/>
      <c r="QHC160" s="2"/>
      <c r="QHD160" s="14"/>
      <c r="QHO160" s="1"/>
      <c r="QHP160" s="1"/>
      <c r="QHQ160" s="1"/>
      <c r="QHR160" s="2"/>
      <c r="QHS160" s="2"/>
      <c r="QHT160" s="14"/>
      <c r="QIE160" s="1"/>
      <c r="QIF160" s="1"/>
      <c r="QIG160" s="1"/>
      <c r="QIH160" s="2"/>
      <c r="QII160" s="2"/>
      <c r="QIJ160" s="14"/>
      <c r="QIU160" s="1"/>
      <c r="QIV160" s="1"/>
      <c r="QIW160" s="1"/>
      <c r="QIX160" s="2"/>
      <c r="QIY160" s="2"/>
      <c r="QIZ160" s="14"/>
      <c r="QJK160" s="1"/>
      <c r="QJL160" s="1"/>
      <c r="QJM160" s="1"/>
      <c r="QJN160" s="2"/>
      <c r="QJO160" s="2"/>
      <c r="QJP160" s="14"/>
      <c r="QKA160" s="1"/>
      <c r="QKB160" s="1"/>
      <c r="QKC160" s="1"/>
      <c r="QKD160" s="2"/>
      <c r="QKE160" s="2"/>
      <c r="QKF160" s="14"/>
      <c r="QKQ160" s="1"/>
      <c r="QKR160" s="1"/>
      <c r="QKS160" s="1"/>
      <c r="QKT160" s="2"/>
      <c r="QKU160" s="2"/>
      <c r="QKV160" s="14"/>
      <c r="QLG160" s="1"/>
      <c r="QLH160" s="1"/>
      <c r="QLI160" s="1"/>
      <c r="QLJ160" s="2"/>
      <c r="QLK160" s="2"/>
      <c r="QLL160" s="14"/>
      <c r="QLW160" s="1"/>
      <c r="QLX160" s="1"/>
      <c r="QLY160" s="1"/>
      <c r="QLZ160" s="2"/>
      <c r="QMA160" s="2"/>
      <c r="QMB160" s="14"/>
      <c r="QMM160" s="1"/>
      <c r="QMN160" s="1"/>
      <c r="QMO160" s="1"/>
      <c r="QMP160" s="2"/>
      <c r="QMQ160" s="2"/>
      <c r="QMR160" s="14"/>
      <c r="QNC160" s="1"/>
      <c r="QND160" s="1"/>
      <c r="QNE160" s="1"/>
      <c r="QNF160" s="2"/>
      <c r="QNG160" s="2"/>
      <c r="QNH160" s="14"/>
      <c r="QNS160" s="1"/>
      <c r="QNT160" s="1"/>
      <c r="QNU160" s="1"/>
      <c r="QNV160" s="2"/>
      <c r="QNW160" s="2"/>
      <c r="QNX160" s="14"/>
      <c r="QOI160" s="1"/>
      <c r="QOJ160" s="1"/>
      <c r="QOK160" s="1"/>
      <c r="QOL160" s="2"/>
      <c r="QOM160" s="2"/>
      <c r="QON160" s="14"/>
      <c r="QOY160" s="1"/>
      <c r="QOZ160" s="1"/>
      <c r="QPA160" s="1"/>
      <c r="QPB160" s="2"/>
      <c r="QPC160" s="2"/>
      <c r="QPD160" s="14"/>
      <c r="QPO160" s="1"/>
      <c r="QPP160" s="1"/>
      <c r="QPQ160" s="1"/>
      <c r="QPR160" s="2"/>
      <c r="QPS160" s="2"/>
      <c r="QPT160" s="14"/>
      <c r="QQE160" s="1"/>
      <c r="QQF160" s="1"/>
      <c r="QQG160" s="1"/>
      <c r="QQH160" s="2"/>
      <c r="QQI160" s="2"/>
      <c r="QQJ160" s="14"/>
      <c r="QQU160" s="1"/>
      <c r="QQV160" s="1"/>
      <c r="QQW160" s="1"/>
      <c r="QQX160" s="2"/>
      <c r="QQY160" s="2"/>
      <c r="QQZ160" s="14"/>
      <c r="QRK160" s="1"/>
      <c r="QRL160" s="1"/>
      <c r="QRM160" s="1"/>
      <c r="QRN160" s="2"/>
      <c r="QRO160" s="2"/>
      <c r="QRP160" s="14"/>
      <c r="QSA160" s="1"/>
      <c r="QSB160" s="1"/>
      <c r="QSC160" s="1"/>
      <c r="QSD160" s="2"/>
      <c r="QSE160" s="2"/>
      <c r="QSF160" s="14"/>
      <c r="QSQ160" s="1"/>
      <c r="QSR160" s="1"/>
      <c r="QSS160" s="1"/>
      <c r="QST160" s="2"/>
      <c r="QSU160" s="2"/>
      <c r="QSV160" s="14"/>
      <c r="QTG160" s="1"/>
      <c r="QTH160" s="1"/>
      <c r="QTI160" s="1"/>
      <c r="QTJ160" s="2"/>
      <c r="QTK160" s="2"/>
      <c r="QTL160" s="14"/>
      <c r="QTW160" s="1"/>
      <c r="QTX160" s="1"/>
      <c r="QTY160" s="1"/>
      <c r="QTZ160" s="2"/>
      <c r="QUA160" s="2"/>
      <c r="QUB160" s="14"/>
      <c r="QUM160" s="1"/>
      <c r="QUN160" s="1"/>
      <c r="QUO160" s="1"/>
      <c r="QUP160" s="2"/>
      <c r="QUQ160" s="2"/>
      <c r="QUR160" s="14"/>
      <c r="QVC160" s="1"/>
      <c r="QVD160" s="1"/>
      <c r="QVE160" s="1"/>
      <c r="QVF160" s="2"/>
      <c r="QVG160" s="2"/>
      <c r="QVH160" s="14"/>
      <c r="QVS160" s="1"/>
      <c r="QVT160" s="1"/>
      <c r="QVU160" s="1"/>
      <c r="QVV160" s="2"/>
      <c r="QVW160" s="2"/>
      <c r="QVX160" s="14"/>
      <c r="QWI160" s="1"/>
      <c r="QWJ160" s="1"/>
      <c r="QWK160" s="1"/>
      <c r="QWL160" s="2"/>
      <c r="QWM160" s="2"/>
      <c r="QWN160" s="14"/>
      <c r="QWY160" s="1"/>
      <c r="QWZ160" s="1"/>
      <c r="QXA160" s="1"/>
      <c r="QXB160" s="2"/>
      <c r="QXC160" s="2"/>
      <c r="QXD160" s="14"/>
      <c r="QXO160" s="1"/>
      <c r="QXP160" s="1"/>
      <c r="QXQ160" s="1"/>
      <c r="QXR160" s="2"/>
      <c r="QXS160" s="2"/>
      <c r="QXT160" s="14"/>
      <c r="QYE160" s="1"/>
      <c r="QYF160" s="1"/>
      <c r="QYG160" s="1"/>
      <c r="QYH160" s="2"/>
      <c r="QYI160" s="2"/>
      <c r="QYJ160" s="14"/>
      <c r="QYU160" s="1"/>
      <c r="QYV160" s="1"/>
      <c r="QYW160" s="1"/>
      <c r="QYX160" s="2"/>
      <c r="QYY160" s="2"/>
      <c r="QYZ160" s="14"/>
      <c r="QZK160" s="1"/>
      <c r="QZL160" s="1"/>
      <c r="QZM160" s="1"/>
      <c r="QZN160" s="2"/>
      <c r="QZO160" s="2"/>
      <c r="QZP160" s="14"/>
      <c r="RAA160" s="1"/>
      <c r="RAB160" s="1"/>
      <c r="RAC160" s="1"/>
      <c r="RAD160" s="2"/>
      <c r="RAE160" s="2"/>
      <c r="RAF160" s="14"/>
      <c r="RAQ160" s="1"/>
      <c r="RAR160" s="1"/>
      <c r="RAS160" s="1"/>
      <c r="RAT160" s="2"/>
      <c r="RAU160" s="2"/>
      <c r="RAV160" s="14"/>
      <c r="RBG160" s="1"/>
      <c r="RBH160" s="1"/>
      <c r="RBI160" s="1"/>
      <c r="RBJ160" s="2"/>
      <c r="RBK160" s="2"/>
      <c r="RBL160" s="14"/>
      <c r="RBW160" s="1"/>
      <c r="RBX160" s="1"/>
      <c r="RBY160" s="1"/>
      <c r="RBZ160" s="2"/>
      <c r="RCA160" s="2"/>
      <c r="RCB160" s="14"/>
      <c r="RCM160" s="1"/>
      <c r="RCN160" s="1"/>
      <c r="RCO160" s="1"/>
      <c r="RCP160" s="2"/>
      <c r="RCQ160" s="2"/>
      <c r="RCR160" s="14"/>
      <c r="RDC160" s="1"/>
      <c r="RDD160" s="1"/>
      <c r="RDE160" s="1"/>
      <c r="RDF160" s="2"/>
      <c r="RDG160" s="2"/>
      <c r="RDH160" s="14"/>
      <c r="RDS160" s="1"/>
      <c r="RDT160" s="1"/>
      <c r="RDU160" s="1"/>
      <c r="RDV160" s="2"/>
      <c r="RDW160" s="2"/>
      <c r="RDX160" s="14"/>
      <c r="REI160" s="1"/>
      <c r="REJ160" s="1"/>
      <c r="REK160" s="1"/>
      <c r="REL160" s="2"/>
      <c r="REM160" s="2"/>
      <c r="REN160" s="14"/>
      <c r="REY160" s="1"/>
      <c r="REZ160" s="1"/>
      <c r="RFA160" s="1"/>
      <c r="RFB160" s="2"/>
      <c r="RFC160" s="2"/>
      <c r="RFD160" s="14"/>
      <c r="RFO160" s="1"/>
      <c r="RFP160" s="1"/>
      <c r="RFQ160" s="1"/>
      <c r="RFR160" s="2"/>
      <c r="RFS160" s="2"/>
      <c r="RFT160" s="14"/>
      <c r="RGE160" s="1"/>
      <c r="RGF160" s="1"/>
      <c r="RGG160" s="1"/>
      <c r="RGH160" s="2"/>
      <c r="RGI160" s="2"/>
      <c r="RGJ160" s="14"/>
      <c r="RGU160" s="1"/>
      <c r="RGV160" s="1"/>
      <c r="RGW160" s="1"/>
      <c r="RGX160" s="2"/>
      <c r="RGY160" s="2"/>
      <c r="RGZ160" s="14"/>
      <c r="RHK160" s="1"/>
      <c r="RHL160" s="1"/>
      <c r="RHM160" s="1"/>
      <c r="RHN160" s="2"/>
      <c r="RHO160" s="2"/>
      <c r="RHP160" s="14"/>
      <c r="RIA160" s="1"/>
      <c r="RIB160" s="1"/>
      <c r="RIC160" s="1"/>
      <c r="RID160" s="2"/>
      <c r="RIE160" s="2"/>
      <c r="RIF160" s="14"/>
      <c r="RIQ160" s="1"/>
      <c r="RIR160" s="1"/>
      <c r="RIS160" s="1"/>
      <c r="RIT160" s="2"/>
      <c r="RIU160" s="2"/>
      <c r="RIV160" s="14"/>
      <c r="RJG160" s="1"/>
      <c r="RJH160" s="1"/>
      <c r="RJI160" s="1"/>
      <c r="RJJ160" s="2"/>
      <c r="RJK160" s="2"/>
      <c r="RJL160" s="14"/>
      <c r="RJW160" s="1"/>
      <c r="RJX160" s="1"/>
      <c r="RJY160" s="1"/>
      <c r="RJZ160" s="2"/>
      <c r="RKA160" s="2"/>
      <c r="RKB160" s="14"/>
      <c r="RKM160" s="1"/>
      <c r="RKN160" s="1"/>
      <c r="RKO160" s="1"/>
      <c r="RKP160" s="2"/>
      <c r="RKQ160" s="2"/>
      <c r="RKR160" s="14"/>
      <c r="RLC160" s="1"/>
      <c r="RLD160" s="1"/>
      <c r="RLE160" s="1"/>
      <c r="RLF160" s="2"/>
      <c r="RLG160" s="2"/>
      <c r="RLH160" s="14"/>
      <c r="RLS160" s="1"/>
      <c r="RLT160" s="1"/>
      <c r="RLU160" s="1"/>
      <c r="RLV160" s="2"/>
      <c r="RLW160" s="2"/>
      <c r="RLX160" s="14"/>
      <c r="RMI160" s="1"/>
      <c r="RMJ160" s="1"/>
      <c r="RMK160" s="1"/>
      <c r="RML160" s="2"/>
      <c r="RMM160" s="2"/>
      <c r="RMN160" s="14"/>
      <c r="RMY160" s="1"/>
      <c r="RMZ160" s="1"/>
      <c r="RNA160" s="1"/>
      <c r="RNB160" s="2"/>
      <c r="RNC160" s="2"/>
      <c r="RND160" s="14"/>
      <c r="RNO160" s="1"/>
      <c r="RNP160" s="1"/>
      <c r="RNQ160" s="1"/>
      <c r="RNR160" s="2"/>
      <c r="RNS160" s="2"/>
      <c r="RNT160" s="14"/>
      <c r="ROE160" s="1"/>
      <c r="ROF160" s="1"/>
      <c r="ROG160" s="1"/>
      <c r="ROH160" s="2"/>
      <c r="ROI160" s="2"/>
      <c r="ROJ160" s="14"/>
      <c r="ROU160" s="1"/>
      <c r="ROV160" s="1"/>
      <c r="ROW160" s="1"/>
      <c r="ROX160" s="2"/>
      <c r="ROY160" s="2"/>
      <c r="ROZ160" s="14"/>
      <c r="RPK160" s="1"/>
      <c r="RPL160" s="1"/>
      <c r="RPM160" s="1"/>
      <c r="RPN160" s="2"/>
      <c r="RPO160" s="2"/>
      <c r="RPP160" s="14"/>
      <c r="RQA160" s="1"/>
      <c r="RQB160" s="1"/>
      <c r="RQC160" s="1"/>
      <c r="RQD160" s="2"/>
      <c r="RQE160" s="2"/>
      <c r="RQF160" s="14"/>
      <c r="RQQ160" s="1"/>
      <c r="RQR160" s="1"/>
      <c r="RQS160" s="1"/>
      <c r="RQT160" s="2"/>
      <c r="RQU160" s="2"/>
      <c r="RQV160" s="14"/>
      <c r="RRG160" s="1"/>
      <c r="RRH160" s="1"/>
      <c r="RRI160" s="1"/>
      <c r="RRJ160" s="2"/>
      <c r="RRK160" s="2"/>
      <c r="RRL160" s="14"/>
      <c r="RRW160" s="1"/>
      <c r="RRX160" s="1"/>
      <c r="RRY160" s="1"/>
      <c r="RRZ160" s="2"/>
      <c r="RSA160" s="2"/>
      <c r="RSB160" s="14"/>
      <c r="RSM160" s="1"/>
      <c r="RSN160" s="1"/>
      <c r="RSO160" s="1"/>
      <c r="RSP160" s="2"/>
      <c r="RSQ160" s="2"/>
      <c r="RSR160" s="14"/>
      <c r="RTC160" s="1"/>
      <c r="RTD160" s="1"/>
      <c r="RTE160" s="1"/>
      <c r="RTF160" s="2"/>
      <c r="RTG160" s="2"/>
      <c r="RTH160" s="14"/>
      <c r="RTS160" s="1"/>
      <c r="RTT160" s="1"/>
      <c r="RTU160" s="1"/>
      <c r="RTV160" s="2"/>
      <c r="RTW160" s="2"/>
      <c r="RTX160" s="14"/>
      <c r="RUI160" s="1"/>
      <c r="RUJ160" s="1"/>
      <c r="RUK160" s="1"/>
      <c r="RUL160" s="2"/>
      <c r="RUM160" s="2"/>
      <c r="RUN160" s="14"/>
      <c r="RUY160" s="1"/>
      <c r="RUZ160" s="1"/>
      <c r="RVA160" s="1"/>
      <c r="RVB160" s="2"/>
      <c r="RVC160" s="2"/>
      <c r="RVD160" s="14"/>
      <c r="RVO160" s="1"/>
      <c r="RVP160" s="1"/>
      <c r="RVQ160" s="1"/>
      <c r="RVR160" s="2"/>
      <c r="RVS160" s="2"/>
      <c r="RVT160" s="14"/>
      <c r="RWE160" s="1"/>
      <c r="RWF160" s="1"/>
      <c r="RWG160" s="1"/>
      <c r="RWH160" s="2"/>
      <c r="RWI160" s="2"/>
      <c r="RWJ160" s="14"/>
      <c r="RWU160" s="1"/>
      <c r="RWV160" s="1"/>
      <c r="RWW160" s="1"/>
      <c r="RWX160" s="2"/>
      <c r="RWY160" s="2"/>
      <c r="RWZ160" s="14"/>
      <c r="RXK160" s="1"/>
      <c r="RXL160" s="1"/>
      <c r="RXM160" s="1"/>
      <c r="RXN160" s="2"/>
      <c r="RXO160" s="2"/>
      <c r="RXP160" s="14"/>
      <c r="RYA160" s="1"/>
      <c r="RYB160" s="1"/>
      <c r="RYC160" s="1"/>
      <c r="RYD160" s="2"/>
      <c r="RYE160" s="2"/>
      <c r="RYF160" s="14"/>
      <c r="RYQ160" s="1"/>
      <c r="RYR160" s="1"/>
      <c r="RYS160" s="1"/>
      <c r="RYT160" s="2"/>
      <c r="RYU160" s="2"/>
      <c r="RYV160" s="14"/>
      <c r="RZG160" s="1"/>
      <c r="RZH160" s="1"/>
      <c r="RZI160" s="1"/>
      <c r="RZJ160" s="2"/>
      <c r="RZK160" s="2"/>
      <c r="RZL160" s="14"/>
      <c r="RZW160" s="1"/>
      <c r="RZX160" s="1"/>
      <c r="RZY160" s="1"/>
      <c r="RZZ160" s="2"/>
      <c r="SAA160" s="2"/>
      <c r="SAB160" s="14"/>
      <c r="SAM160" s="1"/>
      <c r="SAN160" s="1"/>
      <c r="SAO160" s="1"/>
      <c r="SAP160" s="2"/>
      <c r="SAQ160" s="2"/>
      <c r="SAR160" s="14"/>
      <c r="SBC160" s="1"/>
      <c r="SBD160" s="1"/>
      <c r="SBE160" s="1"/>
      <c r="SBF160" s="2"/>
      <c r="SBG160" s="2"/>
      <c r="SBH160" s="14"/>
      <c r="SBS160" s="1"/>
      <c r="SBT160" s="1"/>
      <c r="SBU160" s="1"/>
      <c r="SBV160" s="2"/>
      <c r="SBW160" s="2"/>
      <c r="SBX160" s="14"/>
      <c r="SCI160" s="1"/>
      <c r="SCJ160" s="1"/>
      <c r="SCK160" s="1"/>
      <c r="SCL160" s="2"/>
      <c r="SCM160" s="2"/>
      <c r="SCN160" s="14"/>
      <c r="SCY160" s="1"/>
      <c r="SCZ160" s="1"/>
      <c r="SDA160" s="1"/>
      <c r="SDB160" s="2"/>
      <c r="SDC160" s="2"/>
      <c r="SDD160" s="14"/>
      <c r="SDO160" s="1"/>
      <c r="SDP160" s="1"/>
      <c r="SDQ160" s="1"/>
      <c r="SDR160" s="2"/>
      <c r="SDS160" s="2"/>
      <c r="SDT160" s="14"/>
      <c r="SEE160" s="1"/>
      <c r="SEF160" s="1"/>
      <c r="SEG160" s="1"/>
      <c r="SEH160" s="2"/>
      <c r="SEI160" s="2"/>
      <c r="SEJ160" s="14"/>
      <c r="SEU160" s="1"/>
      <c r="SEV160" s="1"/>
      <c r="SEW160" s="1"/>
      <c r="SEX160" s="2"/>
      <c r="SEY160" s="2"/>
      <c r="SEZ160" s="14"/>
      <c r="SFK160" s="1"/>
      <c r="SFL160" s="1"/>
      <c r="SFM160" s="1"/>
      <c r="SFN160" s="2"/>
      <c r="SFO160" s="2"/>
      <c r="SFP160" s="14"/>
      <c r="SGA160" s="1"/>
      <c r="SGB160" s="1"/>
      <c r="SGC160" s="1"/>
      <c r="SGD160" s="2"/>
      <c r="SGE160" s="2"/>
      <c r="SGF160" s="14"/>
      <c r="SGQ160" s="1"/>
      <c r="SGR160" s="1"/>
      <c r="SGS160" s="1"/>
      <c r="SGT160" s="2"/>
      <c r="SGU160" s="2"/>
      <c r="SGV160" s="14"/>
      <c r="SHG160" s="1"/>
      <c r="SHH160" s="1"/>
      <c r="SHI160" s="1"/>
      <c r="SHJ160" s="2"/>
      <c r="SHK160" s="2"/>
      <c r="SHL160" s="14"/>
      <c r="SHW160" s="1"/>
      <c r="SHX160" s="1"/>
      <c r="SHY160" s="1"/>
      <c r="SHZ160" s="2"/>
      <c r="SIA160" s="2"/>
      <c r="SIB160" s="14"/>
      <c r="SIM160" s="1"/>
      <c r="SIN160" s="1"/>
      <c r="SIO160" s="1"/>
      <c r="SIP160" s="2"/>
      <c r="SIQ160" s="2"/>
      <c r="SIR160" s="14"/>
      <c r="SJC160" s="1"/>
      <c r="SJD160" s="1"/>
      <c r="SJE160" s="1"/>
      <c r="SJF160" s="2"/>
      <c r="SJG160" s="2"/>
      <c r="SJH160" s="14"/>
      <c r="SJS160" s="1"/>
      <c r="SJT160" s="1"/>
      <c r="SJU160" s="1"/>
      <c r="SJV160" s="2"/>
      <c r="SJW160" s="2"/>
      <c r="SJX160" s="14"/>
      <c r="SKI160" s="1"/>
      <c r="SKJ160" s="1"/>
      <c r="SKK160" s="1"/>
      <c r="SKL160" s="2"/>
      <c r="SKM160" s="2"/>
      <c r="SKN160" s="14"/>
      <c r="SKY160" s="1"/>
      <c r="SKZ160" s="1"/>
      <c r="SLA160" s="1"/>
      <c r="SLB160" s="2"/>
      <c r="SLC160" s="2"/>
      <c r="SLD160" s="14"/>
      <c r="SLO160" s="1"/>
      <c r="SLP160" s="1"/>
      <c r="SLQ160" s="1"/>
      <c r="SLR160" s="2"/>
      <c r="SLS160" s="2"/>
      <c r="SLT160" s="14"/>
      <c r="SME160" s="1"/>
      <c r="SMF160" s="1"/>
      <c r="SMG160" s="1"/>
      <c r="SMH160" s="2"/>
      <c r="SMI160" s="2"/>
      <c r="SMJ160" s="14"/>
      <c r="SMU160" s="1"/>
      <c r="SMV160" s="1"/>
      <c r="SMW160" s="1"/>
      <c r="SMX160" s="2"/>
      <c r="SMY160" s="2"/>
      <c r="SMZ160" s="14"/>
      <c r="SNK160" s="1"/>
      <c r="SNL160" s="1"/>
      <c r="SNM160" s="1"/>
      <c r="SNN160" s="2"/>
      <c r="SNO160" s="2"/>
      <c r="SNP160" s="14"/>
      <c r="SOA160" s="1"/>
      <c r="SOB160" s="1"/>
      <c r="SOC160" s="1"/>
      <c r="SOD160" s="2"/>
      <c r="SOE160" s="2"/>
      <c r="SOF160" s="14"/>
      <c r="SOQ160" s="1"/>
      <c r="SOR160" s="1"/>
      <c r="SOS160" s="1"/>
      <c r="SOT160" s="2"/>
      <c r="SOU160" s="2"/>
      <c r="SOV160" s="14"/>
      <c r="SPG160" s="1"/>
      <c r="SPH160" s="1"/>
      <c r="SPI160" s="1"/>
      <c r="SPJ160" s="2"/>
      <c r="SPK160" s="2"/>
      <c r="SPL160" s="14"/>
      <c r="SPW160" s="1"/>
      <c r="SPX160" s="1"/>
      <c r="SPY160" s="1"/>
      <c r="SPZ160" s="2"/>
      <c r="SQA160" s="2"/>
      <c r="SQB160" s="14"/>
      <c r="SQM160" s="1"/>
      <c r="SQN160" s="1"/>
      <c r="SQO160" s="1"/>
      <c r="SQP160" s="2"/>
      <c r="SQQ160" s="2"/>
      <c r="SQR160" s="14"/>
      <c r="SRC160" s="1"/>
      <c r="SRD160" s="1"/>
      <c r="SRE160" s="1"/>
      <c r="SRF160" s="2"/>
      <c r="SRG160" s="2"/>
      <c r="SRH160" s="14"/>
      <c r="SRS160" s="1"/>
      <c r="SRT160" s="1"/>
      <c r="SRU160" s="1"/>
      <c r="SRV160" s="2"/>
      <c r="SRW160" s="2"/>
      <c r="SRX160" s="14"/>
      <c r="SSI160" s="1"/>
      <c r="SSJ160" s="1"/>
      <c r="SSK160" s="1"/>
      <c r="SSL160" s="2"/>
      <c r="SSM160" s="2"/>
      <c r="SSN160" s="14"/>
      <c r="SSY160" s="1"/>
      <c r="SSZ160" s="1"/>
      <c r="STA160" s="1"/>
      <c r="STB160" s="2"/>
      <c r="STC160" s="2"/>
      <c r="STD160" s="14"/>
      <c r="STO160" s="1"/>
      <c r="STP160" s="1"/>
      <c r="STQ160" s="1"/>
      <c r="STR160" s="2"/>
      <c r="STS160" s="2"/>
      <c r="STT160" s="14"/>
      <c r="SUE160" s="1"/>
      <c r="SUF160" s="1"/>
      <c r="SUG160" s="1"/>
      <c r="SUH160" s="2"/>
      <c r="SUI160" s="2"/>
      <c r="SUJ160" s="14"/>
      <c r="SUU160" s="1"/>
      <c r="SUV160" s="1"/>
      <c r="SUW160" s="1"/>
      <c r="SUX160" s="2"/>
      <c r="SUY160" s="2"/>
      <c r="SUZ160" s="14"/>
      <c r="SVK160" s="1"/>
      <c r="SVL160" s="1"/>
      <c r="SVM160" s="1"/>
      <c r="SVN160" s="2"/>
      <c r="SVO160" s="2"/>
      <c r="SVP160" s="14"/>
      <c r="SWA160" s="1"/>
      <c r="SWB160" s="1"/>
      <c r="SWC160" s="1"/>
      <c r="SWD160" s="2"/>
      <c r="SWE160" s="2"/>
      <c r="SWF160" s="14"/>
      <c r="SWQ160" s="1"/>
      <c r="SWR160" s="1"/>
      <c r="SWS160" s="1"/>
      <c r="SWT160" s="2"/>
      <c r="SWU160" s="2"/>
      <c r="SWV160" s="14"/>
      <c r="SXG160" s="1"/>
      <c r="SXH160" s="1"/>
      <c r="SXI160" s="1"/>
      <c r="SXJ160" s="2"/>
      <c r="SXK160" s="2"/>
      <c r="SXL160" s="14"/>
      <c r="SXW160" s="1"/>
      <c r="SXX160" s="1"/>
      <c r="SXY160" s="1"/>
      <c r="SXZ160" s="2"/>
      <c r="SYA160" s="2"/>
      <c r="SYB160" s="14"/>
      <c r="SYM160" s="1"/>
      <c r="SYN160" s="1"/>
      <c r="SYO160" s="1"/>
      <c r="SYP160" s="2"/>
      <c r="SYQ160" s="2"/>
      <c r="SYR160" s="14"/>
      <c r="SZC160" s="1"/>
      <c r="SZD160" s="1"/>
      <c r="SZE160" s="1"/>
      <c r="SZF160" s="2"/>
      <c r="SZG160" s="2"/>
      <c r="SZH160" s="14"/>
      <c r="SZS160" s="1"/>
      <c r="SZT160" s="1"/>
      <c r="SZU160" s="1"/>
      <c r="SZV160" s="2"/>
      <c r="SZW160" s="2"/>
      <c r="SZX160" s="14"/>
      <c r="TAI160" s="1"/>
      <c r="TAJ160" s="1"/>
      <c r="TAK160" s="1"/>
      <c r="TAL160" s="2"/>
      <c r="TAM160" s="2"/>
      <c r="TAN160" s="14"/>
      <c r="TAY160" s="1"/>
      <c r="TAZ160" s="1"/>
      <c r="TBA160" s="1"/>
      <c r="TBB160" s="2"/>
      <c r="TBC160" s="2"/>
      <c r="TBD160" s="14"/>
      <c r="TBO160" s="1"/>
      <c r="TBP160" s="1"/>
      <c r="TBQ160" s="1"/>
      <c r="TBR160" s="2"/>
      <c r="TBS160" s="2"/>
      <c r="TBT160" s="14"/>
      <c r="TCE160" s="1"/>
      <c r="TCF160" s="1"/>
      <c r="TCG160" s="1"/>
      <c r="TCH160" s="2"/>
      <c r="TCI160" s="2"/>
      <c r="TCJ160" s="14"/>
      <c r="TCU160" s="1"/>
      <c r="TCV160" s="1"/>
      <c r="TCW160" s="1"/>
      <c r="TCX160" s="2"/>
      <c r="TCY160" s="2"/>
      <c r="TCZ160" s="14"/>
      <c r="TDK160" s="1"/>
      <c r="TDL160" s="1"/>
      <c r="TDM160" s="1"/>
      <c r="TDN160" s="2"/>
      <c r="TDO160" s="2"/>
      <c r="TDP160" s="14"/>
      <c r="TEA160" s="1"/>
      <c r="TEB160" s="1"/>
      <c r="TEC160" s="1"/>
      <c r="TED160" s="2"/>
      <c r="TEE160" s="2"/>
      <c r="TEF160" s="14"/>
      <c r="TEQ160" s="1"/>
      <c r="TER160" s="1"/>
      <c r="TES160" s="1"/>
      <c r="TET160" s="2"/>
      <c r="TEU160" s="2"/>
      <c r="TEV160" s="14"/>
      <c r="TFG160" s="1"/>
      <c r="TFH160" s="1"/>
      <c r="TFI160" s="1"/>
      <c r="TFJ160" s="2"/>
      <c r="TFK160" s="2"/>
      <c r="TFL160" s="14"/>
      <c r="TFW160" s="1"/>
      <c r="TFX160" s="1"/>
      <c r="TFY160" s="1"/>
      <c r="TFZ160" s="2"/>
      <c r="TGA160" s="2"/>
      <c r="TGB160" s="14"/>
      <c r="TGM160" s="1"/>
      <c r="TGN160" s="1"/>
      <c r="TGO160" s="1"/>
      <c r="TGP160" s="2"/>
      <c r="TGQ160" s="2"/>
      <c r="TGR160" s="14"/>
      <c r="THC160" s="1"/>
      <c r="THD160" s="1"/>
      <c r="THE160" s="1"/>
      <c r="THF160" s="2"/>
      <c r="THG160" s="2"/>
      <c r="THH160" s="14"/>
      <c r="THS160" s="1"/>
      <c r="THT160" s="1"/>
      <c r="THU160" s="1"/>
      <c r="THV160" s="2"/>
      <c r="THW160" s="2"/>
      <c r="THX160" s="14"/>
      <c r="TII160" s="1"/>
      <c r="TIJ160" s="1"/>
      <c r="TIK160" s="1"/>
      <c r="TIL160" s="2"/>
      <c r="TIM160" s="2"/>
      <c r="TIN160" s="14"/>
      <c r="TIY160" s="1"/>
      <c r="TIZ160" s="1"/>
      <c r="TJA160" s="1"/>
      <c r="TJB160" s="2"/>
      <c r="TJC160" s="2"/>
      <c r="TJD160" s="14"/>
      <c r="TJO160" s="1"/>
      <c r="TJP160" s="1"/>
      <c r="TJQ160" s="1"/>
      <c r="TJR160" s="2"/>
      <c r="TJS160" s="2"/>
      <c r="TJT160" s="14"/>
      <c r="TKE160" s="1"/>
      <c r="TKF160" s="1"/>
      <c r="TKG160" s="1"/>
      <c r="TKH160" s="2"/>
      <c r="TKI160" s="2"/>
      <c r="TKJ160" s="14"/>
      <c r="TKU160" s="1"/>
      <c r="TKV160" s="1"/>
      <c r="TKW160" s="1"/>
      <c r="TKX160" s="2"/>
      <c r="TKY160" s="2"/>
      <c r="TKZ160" s="14"/>
      <c r="TLK160" s="1"/>
      <c r="TLL160" s="1"/>
      <c r="TLM160" s="1"/>
      <c r="TLN160" s="2"/>
      <c r="TLO160" s="2"/>
      <c r="TLP160" s="14"/>
      <c r="TMA160" s="1"/>
      <c r="TMB160" s="1"/>
      <c r="TMC160" s="1"/>
      <c r="TMD160" s="2"/>
      <c r="TME160" s="2"/>
      <c r="TMF160" s="14"/>
      <c r="TMQ160" s="1"/>
      <c r="TMR160" s="1"/>
      <c r="TMS160" s="1"/>
      <c r="TMT160" s="2"/>
      <c r="TMU160" s="2"/>
      <c r="TMV160" s="14"/>
      <c r="TNG160" s="1"/>
      <c r="TNH160" s="1"/>
      <c r="TNI160" s="1"/>
      <c r="TNJ160" s="2"/>
      <c r="TNK160" s="2"/>
      <c r="TNL160" s="14"/>
      <c r="TNW160" s="1"/>
      <c r="TNX160" s="1"/>
      <c r="TNY160" s="1"/>
      <c r="TNZ160" s="2"/>
      <c r="TOA160" s="2"/>
      <c r="TOB160" s="14"/>
      <c r="TOM160" s="1"/>
      <c r="TON160" s="1"/>
      <c r="TOO160" s="1"/>
      <c r="TOP160" s="2"/>
      <c r="TOQ160" s="2"/>
      <c r="TOR160" s="14"/>
      <c r="TPC160" s="1"/>
      <c r="TPD160" s="1"/>
      <c r="TPE160" s="1"/>
      <c r="TPF160" s="2"/>
      <c r="TPG160" s="2"/>
      <c r="TPH160" s="14"/>
      <c r="TPS160" s="1"/>
      <c r="TPT160" s="1"/>
      <c r="TPU160" s="1"/>
      <c r="TPV160" s="2"/>
      <c r="TPW160" s="2"/>
      <c r="TPX160" s="14"/>
      <c r="TQI160" s="1"/>
      <c r="TQJ160" s="1"/>
      <c r="TQK160" s="1"/>
      <c r="TQL160" s="2"/>
      <c r="TQM160" s="2"/>
      <c r="TQN160" s="14"/>
      <c r="TQY160" s="1"/>
      <c r="TQZ160" s="1"/>
      <c r="TRA160" s="1"/>
      <c r="TRB160" s="2"/>
      <c r="TRC160" s="2"/>
      <c r="TRD160" s="14"/>
      <c r="TRO160" s="1"/>
      <c r="TRP160" s="1"/>
      <c r="TRQ160" s="1"/>
      <c r="TRR160" s="2"/>
      <c r="TRS160" s="2"/>
      <c r="TRT160" s="14"/>
      <c r="TSE160" s="1"/>
      <c r="TSF160" s="1"/>
      <c r="TSG160" s="1"/>
      <c r="TSH160" s="2"/>
      <c r="TSI160" s="2"/>
      <c r="TSJ160" s="14"/>
      <c r="TSU160" s="1"/>
      <c r="TSV160" s="1"/>
      <c r="TSW160" s="1"/>
      <c r="TSX160" s="2"/>
      <c r="TSY160" s="2"/>
      <c r="TSZ160" s="14"/>
      <c r="TTK160" s="1"/>
      <c r="TTL160" s="1"/>
      <c r="TTM160" s="1"/>
      <c r="TTN160" s="2"/>
      <c r="TTO160" s="2"/>
      <c r="TTP160" s="14"/>
      <c r="TUA160" s="1"/>
      <c r="TUB160" s="1"/>
      <c r="TUC160" s="1"/>
      <c r="TUD160" s="2"/>
      <c r="TUE160" s="2"/>
      <c r="TUF160" s="14"/>
      <c r="TUQ160" s="1"/>
      <c r="TUR160" s="1"/>
      <c r="TUS160" s="1"/>
      <c r="TUT160" s="2"/>
      <c r="TUU160" s="2"/>
      <c r="TUV160" s="14"/>
      <c r="TVG160" s="1"/>
      <c r="TVH160" s="1"/>
      <c r="TVI160" s="1"/>
      <c r="TVJ160" s="2"/>
      <c r="TVK160" s="2"/>
      <c r="TVL160" s="14"/>
      <c r="TVW160" s="1"/>
      <c r="TVX160" s="1"/>
      <c r="TVY160" s="1"/>
      <c r="TVZ160" s="2"/>
      <c r="TWA160" s="2"/>
      <c r="TWB160" s="14"/>
      <c r="TWM160" s="1"/>
      <c r="TWN160" s="1"/>
      <c r="TWO160" s="1"/>
      <c r="TWP160" s="2"/>
      <c r="TWQ160" s="2"/>
      <c r="TWR160" s="14"/>
      <c r="TXC160" s="1"/>
      <c r="TXD160" s="1"/>
      <c r="TXE160" s="1"/>
      <c r="TXF160" s="2"/>
      <c r="TXG160" s="2"/>
      <c r="TXH160" s="14"/>
      <c r="TXS160" s="1"/>
      <c r="TXT160" s="1"/>
      <c r="TXU160" s="1"/>
      <c r="TXV160" s="2"/>
      <c r="TXW160" s="2"/>
      <c r="TXX160" s="14"/>
      <c r="TYI160" s="1"/>
      <c r="TYJ160" s="1"/>
      <c r="TYK160" s="1"/>
      <c r="TYL160" s="2"/>
      <c r="TYM160" s="2"/>
      <c r="TYN160" s="14"/>
      <c r="TYY160" s="1"/>
      <c r="TYZ160" s="1"/>
      <c r="TZA160" s="1"/>
      <c r="TZB160" s="2"/>
      <c r="TZC160" s="2"/>
      <c r="TZD160" s="14"/>
      <c r="TZO160" s="1"/>
      <c r="TZP160" s="1"/>
      <c r="TZQ160" s="1"/>
      <c r="TZR160" s="2"/>
      <c r="TZS160" s="2"/>
      <c r="TZT160" s="14"/>
      <c r="UAE160" s="1"/>
      <c r="UAF160" s="1"/>
      <c r="UAG160" s="1"/>
      <c r="UAH160" s="2"/>
      <c r="UAI160" s="2"/>
      <c r="UAJ160" s="14"/>
      <c r="UAU160" s="1"/>
      <c r="UAV160" s="1"/>
      <c r="UAW160" s="1"/>
      <c r="UAX160" s="2"/>
      <c r="UAY160" s="2"/>
      <c r="UAZ160" s="14"/>
      <c r="UBK160" s="1"/>
      <c r="UBL160" s="1"/>
      <c r="UBM160" s="1"/>
      <c r="UBN160" s="2"/>
      <c r="UBO160" s="2"/>
      <c r="UBP160" s="14"/>
      <c r="UCA160" s="1"/>
      <c r="UCB160" s="1"/>
      <c r="UCC160" s="1"/>
      <c r="UCD160" s="2"/>
      <c r="UCE160" s="2"/>
      <c r="UCF160" s="14"/>
      <c r="UCQ160" s="1"/>
      <c r="UCR160" s="1"/>
      <c r="UCS160" s="1"/>
      <c r="UCT160" s="2"/>
      <c r="UCU160" s="2"/>
      <c r="UCV160" s="14"/>
      <c r="UDG160" s="1"/>
      <c r="UDH160" s="1"/>
      <c r="UDI160" s="1"/>
      <c r="UDJ160" s="2"/>
      <c r="UDK160" s="2"/>
      <c r="UDL160" s="14"/>
      <c r="UDW160" s="1"/>
      <c r="UDX160" s="1"/>
      <c r="UDY160" s="1"/>
      <c r="UDZ160" s="2"/>
      <c r="UEA160" s="2"/>
      <c r="UEB160" s="14"/>
      <c r="UEM160" s="1"/>
      <c r="UEN160" s="1"/>
      <c r="UEO160" s="1"/>
      <c r="UEP160" s="2"/>
      <c r="UEQ160" s="2"/>
      <c r="UER160" s="14"/>
      <c r="UFC160" s="1"/>
      <c r="UFD160" s="1"/>
      <c r="UFE160" s="1"/>
      <c r="UFF160" s="2"/>
      <c r="UFG160" s="2"/>
      <c r="UFH160" s="14"/>
      <c r="UFS160" s="1"/>
      <c r="UFT160" s="1"/>
      <c r="UFU160" s="1"/>
      <c r="UFV160" s="2"/>
      <c r="UFW160" s="2"/>
      <c r="UFX160" s="14"/>
      <c r="UGI160" s="1"/>
      <c r="UGJ160" s="1"/>
      <c r="UGK160" s="1"/>
      <c r="UGL160" s="2"/>
      <c r="UGM160" s="2"/>
      <c r="UGN160" s="14"/>
      <c r="UGY160" s="1"/>
      <c r="UGZ160" s="1"/>
      <c r="UHA160" s="1"/>
      <c r="UHB160" s="2"/>
      <c r="UHC160" s="2"/>
      <c r="UHD160" s="14"/>
      <c r="UHO160" s="1"/>
      <c r="UHP160" s="1"/>
      <c r="UHQ160" s="1"/>
      <c r="UHR160" s="2"/>
      <c r="UHS160" s="2"/>
      <c r="UHT160" s="14"/>
      <c r="UIE160" s="1"/>
      <c r="UIF160" s="1"/>
      <c r="UIG160" s="1"/>
      <c r="UIH160" s="2"/>
      <c r="UII160" s="2"/>
      <c r="UIJ160" s="14"/>
      <c r="UIU160" s="1"/>
      <c r="UIV160" s="1"/>
      <c r="UIW160" s="1"/>
      <c r="UIX160" s="2"/>
      <c r="UIY160" s="2"/>
      <c r="UIZ160" s="14"/>
      <c r="UJK160" s="1"/>
      <c r="UJL160" s="1"/>
      <c r="UJM160" s="1"/>
      <c r="UJN160" s="2"/>
      <c r="UJO160" s="2"/>
      <c r="UJP160" s="14"/>
      <c r="UKA160" s="1"/>
      <c r="UKB160" s="1"/>
      <c r="UKC160" s="1"/>
      <c r="UKD160" s="2"/>
      <c r="UKE160" s="2"/>
      <c r="UKF160" s="14"/>
      <c r="UKQ160" s="1"/>
      <c r="UKR160" s="1"/>
      <c r="UKS160" s="1"/>
      <c r="UKT160" s="2"/>
      <c r="UKU160" s="2"/>
      <c r="UKV160" s="14"/>
      <c r="ULG160" s="1"/>
      <c r="ULH160" s="1"/>
      <c r="ULI160" s="1"/>
      <c r="ULJ160" s="2"/>
      <c r="ULK160" s="2"/>
      <c r="ULL160" s="14"/>
      <c r="ULW160" s="1"/>
      <c r="ULX160" s="1"/>
      <c r="ULY160" s="1"/>
      <c r="ULZ160" s="2"/>
      <c r="UMA160" s="2"/>
      <c r="UMB160" s="14"/>
      <c r="UMM160" s="1"/>
      <c r="UMN160" s="1"/>
      <c r="UMO160" s="1"/>
      <c r="UMP160" s="2"/>
      <c r="UMQ160" s="2"/>
      <c r="UMR160" s="14"/>
      <c r="UNC160" s="1"/>
      <c r="UND160" s="1"/>
      <c r="UNE160" s="1"/>
      <c r="UNF160" s="2"/>
      <c r="UNG160" s="2"/>
      <c r="UNH160" s="14"/>
      <c r="UNS160" s="1"/>
      <c r="UNT160" s="1"/>
      <c r="UNU160" s="1"/>
      <c r="UNV160" s="2"/>
      <c r="UNW160" s="2"/>
      <c r="UNX160" s="14"/>
      <c r="UOI160" s="1"/>
      <c r="UOJ160" s="1"/>
      <c r="UOK160" s="1"/>
      <c r="UOL160" s="2"/>
      <c r="UOM160" s="2"/>
      <c r="UON160" s="14"/>
      <c r="UOY160" s="1"/>
      <c r="UOZ160" s="1"/>
      <c r="UPA160" s="1"/>
      <c r="UPB160" s="2"/>
      <c r="UPC160" s="2"/>
      <c r="UPD160" s="14"/>
      <c r="UPO160" s="1"/>
      <c r="UPP160" s="1"/>
      <c r="UPQ160" s="1"/>
      <c r="UPR160" s="2"/>
      <c r="UPS160" s="2"/>
      <c r="UPT160" s="14"/>
      <c r="UQE160" s="1"/>
      <c r="UQF160" s="1"/>
      <c r="UQG160" s="1"/>
      <c r="UQH160" s="2"/>
      <c r="UQI160" s="2"/>
      <c r="UQJ160" s="14"/>
      <c r="UQU160" s="1"/>
      <c r="UQV160" s="1"/>
      <c r="UQW160" s="1"/>
      <c r="UQX160" s="2"/>
      <c r="UQY160" s="2"/>
      <c r="UQZ160" s="14"/>
      <c r="URK160" s="1"/>
      <c r="URL160" s="1"/>
      <c r="URM160" s="1"/>
      <c r="URN160" s="2"/>
      <c r="URO160" s="2"/>
      <c r="URP160" s="14"/>
      <c r="USA160" s="1"/>
      <c r="USB160" s="1"/>
      <c r="USC160" s="1"/>
      <c r="USD160" s="2"/>
      <c r="USE160" s="2"/>
      <c r="USF160" s="14"/>
      <c r="USQ160" s="1"/>
      <c r="USR160" s="1"/>
      <c r="USS160" s="1"/>
      <c r="UST160" s="2"/>
      <c r="USU160" s="2"/>
      <c r="USV160" s="14"/>
      <c r="UTG160" s="1"/>
      <c r="UTH160" s="1"/>
      <c r="UTI160" s="1"/>
      <c r="UTJ160" s="2"/>
      <c r="UTK160" s="2"/>
      <c r="UTL160" s="14"/>
      <c r="UTW160" s="1"/>
      <c r="UTX160" s="1"/>
      <c r="UTY160" s="1"/>
      <c r="UTZ160" s="2"/>
      <c r="UUA160" s="2"/>
      <c r="UUB160" s="14"/>
      <c r="UUM160" s="1"/>
      <c r="UUN160" s="1"/>
      <c r="UUO160" s="1"/>
      <c r="UUP160" s="2"/>
      <c r="UUQ160" s="2"/>
      <c r="UUR160" s="14"/>
      <c r="UVC160" s="1"/>
      <c r="UVD160" s="1"/>
      <c r="UVE160" s="1"/>
      <c r="UVF160" s="2"/>
      <c r="UVG160" s="2"/>
      <c r="UVH160" s="14"/>
      <c r="UVS160" s="1"/>
      <c r="UVT160" s="1"/>
      <c r="UVU160" s="1"/>
      <c r="UVV160" s="2"/>
      <c r="UVW160" s="2"/>
      <c r="UVX160" s="14"/>
      <c r="UWI160" s="1"/>
      <c r="UWJ160" s="1"/>
      <c r="UWK160" s="1"/>
      <c r="UWL160" s="2"/>
      <c r="UWM160" s="2"/>
      <c r="UWN160" s="14"/>
      <c r="UWY160" s="1"/>
      <c r="UWZ160" s="1"/>
      <c r="UXA160" s="1"/>
      <c r="UXB160" s="2"/>
      <c r="UXC160" s="2"/>
      <c r="UXD160" s="14"/>
      <c r="UXO160" s="1"/>
      <c r="UXP160" s="1"/>
      <c r="UXQ160" s="1"/>
      <c r="UXR160" s="2"/>
      <c r="UXS160" s="2"/>
      <c r="UXT160" s="14"/>
      <c r="UYE160" s="1"/>
      <c r="UYF160" s="1"/>
      <c r="UYG160" s="1"/>
      <c r="UYH160" s="2"/>
      <c r="UYI160" s="2"/>
      <c r="UYJ160" s="14"/>
      <c r="UYU160" s="1"/>
      <c r="UYV160" s="1"/>
      <c r="UYW160" s="1"/>
      <c r="UYX160" s="2"/>
      <c r="UYY160" s="2"/>
      <c r="UYZ160" s="14"/>
      <c r="UZK160" s="1"/>
      <c r="UZL160" s="1"/>
      <c r="UZM160" s="1"/>
      <c r="UZN160" s="2"/>
      <c r="UZO160" s="2"/>
      <c r="UZP160" s="14"/>
      <c r="VAA160" s="1"/>
      <c r="VAB160" s="1"/>
      <c r="VAC160" s="1"/>
      <c r="VAD160" s="2"/>
      <c r="VAE160" s="2"/>
      <c r="VAF160" s="14"/>
      <c r="VAQ160" s="1"/>
      <c r="VAR160" s="1"/>
      <c r="VAS160" s="1"/>
      <c r="VAT160" s="2"/>
      <c r="VAU160" s="2"/>
      <c r="VAV160" s="14"/>
      <c r="VBG160" s="1"/>
      <c r="VBH160" s="1"/>
      <c r="VBI160" s="1"/>
      <c r="VBJ160" s="2"/>
      <c r="VBK160" s="2"/>
      <c r="VBL160" s="14"/>
      <c r="VBW160" s="1"/>
      <c r="VBX160" s="1"/>
      <c r="VBY160" s="1"/>
      <c r="VBZ160" s="2"/>
      <c r="VCA160" s="2"/>
      <c r="VCB160" s="14"/>
      <c r="VCM160" s="1"/>
      <c r="VCN160" s="1"/>
      <c r="VCO160" s="1"/>
      <c r="VCP160" s="2"/>
      <c r="VCQ160" s="2"/>
      <c r="VCR160" s="14"/>
      <c r="VDC160" s="1"/>
      <c r="VDD160" s="1"/>
      <c r="VDE160" s="1"/>
      <c r="VDF160" s="2"/>
      <c r="VDG160" s="2"/>
      <c r="VDH160" s="14"/>
      <c r="VDS160" s="1"/>
      <c r="VDT160" s="1"/>
      <c r="VDU160" s="1"/>
      <c r="VDV160" s="2"/>
      <c r="VDW160" s="2"/>
      <c r="VDX160" s="14"/>
      <c r="VEI160" s="1"/>
      <c r="VEJ160" s="1"/>
      <c r="VEK160" s="1"/>
      <c r="VEL160" s="2"/>
      <c r="VEM160" s="2"/>
      <c r="VEN160" s="14"/>
      <c r="VEY160" s="1"/>
      <c r="VEZ160" s="1"/>
      <c r="VFA160" s="1"/>
      <c r="VFB160" s="2"/>
      <c r="VFC160" s="2"/>
      <c r="VFD160" s="14"/>
      <c r="VFO160" s="1"/>
      <c r="VFP160" s="1"/>
      <c r="VFQ160" s="1"/>
      <c r="VFR160" s="2"/>
      <c r="VFS160" s="2"/>
      <c r="VFT160" s="14"/>
      <c r="VGE160" s="1"/>
      <c r="VGF160" s="1"/>
      <c r="VGG160" s="1"/>
      <c r="VGH160" s="2"/>
      <c r="VGI160" s="2"/>
      <c r="VGJ160" s="14"/>
      <c r="VGU160" s="1"/>
      <c r="VGV160" s="1"/>
      <c r="VGW160" s="1"/>
      <c r="VGX160" s="2"/>
      <c r="VGY160" s="2"/>
      <c r="VGZ160" s="14"/>
      <c r="VHK160" s="1"/>
      <c r="VHL160" s="1"/>
      <c r="VHM160" s="1"/>
      <c r="VHN160" s="2"/>
      <c r="VHO160" s="2"/>
      <c r="VHP160" s="14"/>
      <c r="VIA160" s="1"/>
      <c r="VIB160" s="1"/>
      <c r="VIC160" s="1"/>
      <c r="VID160" s="2"/>
      <c r="VIE160" s="2"/>
      <c r="VIF160" s="14"/>
      <c r="VIQ160" s="1"/>
      <c r="VIR160" s="1"/>
      <c r="VIS160" s="1"/>
      <c r="VIT160" s="2"/>
      <c r="VIU160" s="2"/>
      <c r="VIV160" s="14"/>
      <c r="VJG160" s="1"/>
      <c r="VJH160" s="1"/>
      <c r="VJI160" s="1"/>
      <c r="VJJ160" s="2"/>
      <c r="VJK160" s="2"/>
      <c r="VJL160" s="14"/>
      <c r="VJW160" s="1"/>
      <c r="VJX160" s="1"/>
      <c r="VJY160" s="1"/>
      <c r="VJZ160" s="2"/>
      <c r="VKA160" s="2"/>
      <c r="VKB160" s="14"/>
      <c r="VKM160" s="1"/>
      <c r="VKN160" s="1"/>
      <c r="VKO160" s="1"/>
      <c r="VKP160" s="2"/>
      <c r="VKQ160" s="2"/>
      <c r="VKR160" s="14"/>
      <c r="VLC160" s="1"/>
      <c r="VLD160" s="1"/>
      <c r="VLE160" s="1"/>
      <c r="VLF160" s="2"/>
      <c r="VLG160" s="2"/>
      <c r="VLH160" s="14"/>
      <c r="VLS160" s="1"/>
      <c r="VLT160" s="1"/>
      <c r="VLU160" s="1"/>
      <c r="VLV160" s="2"/>
      <c r="VLW160" s="2"/>
      <c r="VLX160" s="14"/>
      <c r="VMI160" s="1"/>
      <c r="VMJ160" s="1"/>
      <c r="VMK160" s="1"/>
      <c r="VML160" s="2"/>
      <c r="VMM160" s="2"/>
      <c r="VMN160" s="14"/>
      <c r="VMY160" s="1"/>
      <c r="VMZ160" s="1"/>
      <c r="VNA160" s="1"/>
      <c r="VNB160" s="2"/>
      <c r="VNC160" s="2"/>
      <c r="VND160" s="14"/>
      <c r="VNO160" s="1"/>
      <c r="VNP160" s="1"/>
      <c r="VNQ160" s="1"/>
      <c r="VNR160" s="2"/>
      <c r="VNS160" s="2"/>
      <c r="VNT160" s="14"/>
      <c r="VOE160" s="1"/>
      <c r="VOF160" s="1"/>
      <c r="VOG160" s="1"/>
      <c r="VOH160" s="2"/>
      <c r="VOI160" s="2"/>
      <c r="VOJ160" s="14"/>
      <c r="VOU160" s="1"/>
      <c r="VOV160" s="1"/>
      <c r="VOW160" s="1"/>
      <c r="VOX160" s="2"/>
      <c r="VOY160" s="2"/>
      <c r="VOZ160" s="14"/>
      <c r="VPK160" s="1"/>
      <c r="VPL160" s="1"/>
      <c r="VPM160" s="1"/>
      <c r="VPN160" s="2"/>
      <c r="VPO160" s="2"/>
      <c r="VPP160" s="14"/>
      <c r="VQA160" s="1"/>
      <c r="VQB160" s="1"/>
      <c r="VQC160" s="1"/>
      <c r="VQD160" s="2"/>
      <c r="VQE160" s="2"/>
      <c r="VQF160" s="14"/>
      <c r="VQQ160" s="1"/>
      <c r="VQR160" s="1"/>
      <c r="VQS160" s="1"/>
      <c r="VQT160" s="2"/>
      <c r="VQU160" s="2"/>
      <c r="VQV160" s="14"/>
      <c r="VRG160" s="1"/>
      <c r="VRH160" s="1"/>
      <c r="VRI160" s="1"/>
      <c r="VRJ160" s="2"/>
      <c r="VRK160" s="2"/>
      <c r="VRL160" s="14"/>
      <c r="VRW160" s="1"/>
      <c r="VRX160" s="1"/>
      <c r="VRY160" s="1"/>
      <c r="VRZ160" s="2"/>
      <c r="VSA160" s="2"/>
      <c r="VSB160" s="14"/>
      <c r="VSM160" s="1"/>
      <c r="VSN160" s="1"/>
      <c r="VSO160" s="1"/>
      <c r="VSP160" s="2"/>
      <c r="VSQ160" s="2"/>
      <c r="VSR160" s="14"/>
      <c r="VTC160" s="1"/>
      <c r="VTD160" s="1"/>
      <c r="VTE160" s="1"/>
      <c r="VTF160" s="2"/>
      <c r="VTG160" s="2"/>
      <c r="VTH160" s="14"/>
      <c r="VTS160" s="1"/>
      <c r="VTT160" s="1"/>
      <c r="VTU160" s="1"/>
      <c r="VTV160" s="2"/>
      <c r="VTW160" s="2"/>
      <c r="VTX160" s="14"/>
      <c r="VUI160" s="1"/>
      <c r="VUJ160" s="1"/>
      <c r="VUK160" s="1"/>
      <c r="VUL160" s="2"/>
      <c r="VUM160" s="2"/>
      <c r="VUN160" s="14"/>
      <c r="VUY160" s="1"/>
      <c r="VUZ160" s="1"/>
      <c r="VVA160" s="1"/>
      <c r="VVB160" s="2"/>
      <c r="VVC160" s="2"/>
      <c r="VVD160" s="14"/>
      <c r="VVO160" s="1"/>
      <c r="VVP160" s="1"/>
      <c r="VVQ160" s="1"/>
      <c r="VVR160" s="2"/>
      <c r="VVS160" s="2"/>
      <c r="VVT160" s="14"/>
      <c r="VWE160" s="1"/>
      <c r="VWF160" s="1"/>
      <c r="VWG160" s="1"/>
      <c r="VWH160" s="2"/>
      <c r="VWI160" s="2"/>
      <c r="VWJ160" s="14"/>
      <c r="VWU160" s="1"/>
      <c r="VWV160" s="1"/>
      <c r="VWW160" s="1"/>
      <c r="VWX160" s="2"/>
      <c r="VWY160" s="2"/>
      <c r="VWZ160" s="14"/>
      <c r="VXK160" s="1"/>
      <c r="VXL160" s="1"/>
      <c r="VXM160" s="1"/>
      <c r="VXN160" s="2"/>
      <c r="VXO160" s="2"/>
      <c r="VXP160" s="14"/>
      <c r="VYA160" s="1"/>
      <c r="VYB160" s="1"/>
      <c r="VYC160" s="1"/>
      <c r="VYD160" s="2"/>
      <c r="VYE160" s="2"/>
      <c r="VYF160" s="14"/>
      <c r="VYQ160" s="1"/>
      <c r="VYR160" s="1"/>
      <c r="VYS160" s="1"/>
      <c r="VYT160" s="2"/>
      <c r="VYU160" s="2"/>
      <c r="VYV160" s="14"/>
      <c r="VZG160" s="1"/>
      <c r="VZH160" s="1"/>
      <c r="VZI160" s="1"/>
      <c r="VZJ160" s="2"/>
      <c r="VZK160" s="2"/>
      <c r="VZL160" s="14"/>
      <c r="VZW160" s="1"/>
      <c r="VZX160" s="1"/>
      <c r="VZY160" s="1"/>
      <c r="VZZ160" s="2"/>
      <c r="WAA160" s="2"/>
      <c r="WAB160" s="14"/>
      <c r="WAM160" s="1"/>
      <c r="WAN160" s="1"/>
      <c r="WAO160" s="1"/>
      <c r="WAP160" s="2"/>
      <c r="WAQ160" s="2"/>
      <c r="WAR160" s="14"/>
      <c r="WBC160" s="1"/>
      <c r="WBD160" s="1"/>
      <c r="WBE160" s="1"/>
      <c r="WBF160" s="2"/>
      <c r="WBG160" s="2"/>
      <c r="WBH160" s="14"/>
      <c r="WBS160" s="1"/>
      <c r="WBT160" s="1"/>
      <c r="WBU160" s="1"/>
      <c r="WBV160" s="2"/>
      <c r="WBW160" s="2"/>
      <c r="WBX160" s="14"/>
      <c r="WCI160" s="1"/>
      <c r="WCJ160" s="1"/>
      <c r="WCK160" s="1"/>
      <c r="WCL160" s="2"/>
      <c r="WCM160" s="2"/>
      <c r="WCN160" s="14"/>
      <c r="WCY160" s="1"/>
      <c r="WCZ160" s="1"/>
      <c r="WDA160" s="1"/>
      <c r="WDB160" s="2"/>
      <c r="WDC160" s="2"/>
      <c r="WDD160" s="14"/>
      <c r="WDO160" s="1"/>
      <c r="WDP160" s="1"/>
      <c r="WDQ160" s="1"/>
      <c r="WDR160" s="2"/>
      <c r="WDS160" s="2"/>
      <c r="WDT160" s="14"/>
      <c r="WEE160" s="1"/>
      <c r="WEF160" s="1"/>
      <c r="WEG160" s="1"/>
      <c r="WEH160" s="2"/>
      <c r="WEI160" s="2"/>
      <c r="WEJ160" s="14"/>
      <c r="WEU160" s="1"/>
      <c r="WEV160" s="1"/>
      <c r="WEW160" s="1"/>
      <c r="WEX160" s="2"/>
      <c r="WEY160" s="2"/>
      <c r="WEZ160" s="14"/>
      <c r="WFK160" s="1"/>
      <c r="WFL160" s="1"/>
      <c r="WFM160" s="1"/>
      <c r="WFN160" s="2"/>
      <c r="WFO160" s="2"/>
      <c r="WFP160" s="14"/>
      <c r="WGA160" s="1"/>
      <c r="WGB160" s="1"/>
      <c r="WGC160" s="1"/>
      <c r="WGD160" s="2"/>
      <c r="WGE160" s="2"/>
      <c r="WGF160" s="14"/>
      <c r="WGQ160" s="1"/>
      <c r="WGR160" s="1"/>
      <c r="WGS160" s="1"/>
      <c r="WGT160" s="2"/>
      <c r="WGU160" s="2"/>
      <c r="WGV160" s="14"/>
      <c r="WHG160" s="1"/>
      <c r="WHH160" s="1"/>
      <c r="WHI160" s="1"/>
      <c r="WHJ160" s="2"/>
      <c r="WHK160" s="2"/>
      <c r="WHL160" s="14"/>
      <c r="WHW160" s="1"/>
      <c r="WHX160" s="1"/>
      <c r="WHY160" s="1"/>
      <c r="WHZ160" s="2"/>
      <c r="WIA160" s="2"/>
      <c r="WIB160" s="14"/>
      <c r="WIM160" s="1"/>
      <c r="WIN160" s="1"/>
      <c r="WIO160" s="1"/>
      <c r="WIP160" s="2"/>
      <c r="WIQ160" s="2"/>
      <c r="WIR160" s="14"/>
      <c r="WJC160" s="1"/>
      <c r="WJD160" s="1"/>
      <c r="WJE160" s="1"/>
      <c r="WJF160" s="2"/>
      <c r="WJG160" s="2"/>
      <c r="WJH160" s="14"/>
      <c r="WJS160" s="1"/>
      <c r="WJT160" s="1"/>
      <c r="WJU160" s="1"/>
      <c r="WJV160" s="2"/>
      <c r="WJW160" s="2"/>
      <c r="WJX160" s="14"/>
      <c r="WKI160" s="1"/>
      <c r="WKJ160" s="1"/>
      <c r="WKK160" s="1"/>
      <c r="WKL160" s="2"/>
      <c r="WKM160" s="2"/>
      <c r="WKN160" s="14"/>
      <c r="WKY160" s="1"/>
      <c r="WKZ160" s="1"/>
      <c r="WLA160" s="1"/>
      <c r="WLB160" s="2"/>
      <c r="WLC160" s="2"/>
      <c r="WLD160" s="14"/>
      <c r="WLO160" s="1"/>
      <c r="WLP160" s="1"/>
      <c r="WLQ160" s="1"/>
      <c r="WLR160" s="2"/>
      <c r="WLS160" s="2"/>
      <c r="WLT160" s="14"/>
      <c r="WME160" s="1"/>
      <c r="WMF160" s="1"/>
      <c r="WMG160" s="1"/>
      <c r="WMH160" s="2"/>
      <c r="WMI160" s="2"/>
      <c r="WMJ160" s="14"/>
      <c r="WMU160" s="1"/>
      <c r="WMV160" s="1"/>
      <c r="WMW160" s="1"/>
      <c r="WMX160" s="2"/>
      <c r="WMY160" s="2"/>
      <c r="WMZ160" s="14"/>
      <c r="WNK160" s="1"/>
      <c r="WNL160" s="1"/>
      <c r="WNM160" s="1"/>
      <c r="WNN160" s="2"/>
      <c r="WNO160" s="2"/>
      <c r="WNP160" s="14"/>
      <c r="WOA160" s="1"/>
      <c r="WOB160" s="1"/>
      <c r="WOC160" s="1"/>
      <c r="WOD160" s="2"/>
      <c r="WOE160" s="2"/>
      <c r="WOF160" s="14"/>
      <c r="WOQ160" s="1"/>
      <c r="WOR160" s="1"/>
      <c r="WOS160" s="1"/>
      <c r="WOT160" s="2"/>
      <c r="WOU160" s="2"/>
      <c r="WOV160" s="14"/>
      <c r="WPG160" s="1"/>
      <c r="WPH160" s="1"/>
      <c r="WPI160" s="1"/>
      <c r="WPJ160" s="2"/>
      <c r="WPK160" s="2"/>
      <c r="WPL160" s="14"/>
      <c r="WPW160" s="1"/>
      <c r="WPX160" s="1"/>
      <c r="WPY160" s="1"/>
      <c r="WPZ160" s="2"/>
      <c r="WQA160" s="2"/>
      <c r="WQB160" s="14"/>
      <c r="WQM160" s="1"/>
      <c r="WQN160" s="1"/>
      <c r="WQO160" s="1"/>
      <c r="WQP160" s="2"/>
      <c r="WQQ160" s="2"/>
      <c r="WQR160" s="14"/>
      <c r="WRC160" s="1"/>
      <c r="WRD160" s="1"/>
      <c r="WRE160" s="1"/>
      <c r="WRF160" s="2"/>
      <c r="WRG160" s="2"/>
      <c r="WRH160" s="14"/>
      <c r="WRS160" s="1"/>
      <c r="WRT160" s="1"/>
      <c r="WRU160" s="1"/>
      <c r="WRV160" s="2"/>
      <c r="WRW160" s="2"/>
      <c r="WRX160" s="14"/>
      <c r="WSI160" s="1"/>
      <c r="WSJ160" s="1"/>
      <c r="WSK160" s="1"/>
      <c r="WSL160" s="2"/>
      <c r="WSM160" s="2"/>
      <c r="WSN160" s="14"/>
      <c r="WSY160" s="1"/>
      <c r="WSZ160" s="1"/>
      <c r="WTA160" s="1"/>
      <c r="WTB160" s="2"/>
      <c r="WTC160" s="2"/>
      <c r="WTD160" s="14"/>
      <c r="WTO160" s="1"/>
      <c r="WTP160" s="1"/>
      <c r="WTQ160" s="1"/>
      <c r="WTR160" s="2"/>
      <c r="WTS160" s="2"/>
      <c r="WTT160" s="14"/>
      <c r="WUE160" s="1"/>
      <c r="WUF160" s="1"/>
      <c r="WUG160" s="1"/>
      <c r="WUH160" s="2"/>
      <c r="WUI160" s="2"/>
      <c r="WUJ160" s="14"/>
      <c r="WUU160" s="1"/>
      <c r="WUV160" s="1"/>
      <c r="WUW160" s="1"/>
      <c r="WUX160" s="2"/>
      <c r="WUY160" s="2"/>
      <c r="WUZ160" s="14"/>
      <c r="WVK160" s="1"/>
      <c r="WVL160" s="1"/>
      <c r="WVM160" s="1"/>
      <c r="WVN160" s="2"/>
      <c r="WVO160" s="2"/>
      <c r="WVP160" s="14"/>
      <c r="WWA160" s="1"/>
      <c r="WWB160" s="1"/>
      <c r="WWC160" s="1"/>
      <c r="WWD160" s="2"/>
      <c r="WWE160" s="2"/>
      <c r="WWF160" s="14"/>
      <c r="WWQ160" s="1"/>
      <c r="WWR160" s="1"/>
      <c r="WWS160" s="1"/>
      <c r="WWT160" s="2"/>
      <c r="WWU160" s="2"/>
      <c r="WWV160" s="14"/>
      <c r="WXG160" s="1"/>
      <c r="WXH160" s="1"/>
      <c r="WXI160" s="1"/>
      <c r="WXJ160" s="2"/>
      <c r="WXK160" s="2"/>
      <c r="WXL160" s="14"/>
      <c r="WXW160" s="1"/>
      <c r="WXX160" s="1"/>
      <c r="WXY160" s="1"/>
      <c r="WXZ160" s="2"/>
      <c r="WYA160" s="2"/>
      <c r="WYB160" s="14"/>
      <c r="WYM160" s="1"/>
      <c r="WYN160" s="1"/>
      <c r="WYO160" s="1"/>
      <c r="WYP160" s="2"/>
      <c r="WYQ160" s="2"/>
      <c r="WYR160" s="14"/>
      <c r="WZC160" s="1"/>
      <c r="WZD160" s="1"/>
      <c r="WZE160" s="1"/>
      <c r="WZF160" s="2"/>
      <c r="WZG160" s="2"/>
      <c r="WZH160" s="14"/>
      <c r="WZS160" s="1"/>
      <c r="WZT160" s="1"/>
      <c r="WZU160" s="1"/>
      <c r="WZV160" s="2"/>
      <c r="WZW160" s="2"/>
      <c r="WZX160" s="14"/>
      <c r="XAI160" s="1"/>
      <c r="XAJ160" s="1"/>
      <c r="XAK160" s="1"/>
      <c r="XAL160" s="2"/>
      <c r="XAM160" s="2"/>
      <c r="XAN160" s="14"/>
      <c r="XAY160" s="1"/>
      <c r="XAZ160" s="1"/>
      <c r="XBA160" s="1"/>
      <c r="XBB160" s="2"/>
      <c r="XBC160" s="2"/>
      <c r="XBD160" s="14"/>
      <c r="XBO160" s="1"/>
      <c r="XBP160" s="1"/>
      <c r="XBQ160" s="1"/>
      <c r="XBR160" s="2"/>
      <c r="XBS160" s="2"/>
      <c r="XBT160" s="14"/>
      <c r="XCE160" s="1"/>
      <c r="XCF160" s="1"/>
      <c r="XCG160" s="1"/>
      <c r="XCH160" s="2"/>
      <c r="XCI160" s="2"/>
      <c r="XCJ160" s="14"/>
      <c r="XCU160" s="1"/>
      <c r="XCV160" s="1"/>
      <c r="XCW160" s="1"/>
      <c r="XCX160" s="2"/>
      <c r="XCY160" s="2"/>
      <c r="XCZ160" s="14"/>
      <c r="XDK160" s="1"/>
      <c r="XDL160" s="1"/>
      <c r="XDM160" s="1"/>
      <c r="XDN160" s="2"/>
      <c r="XDO160" s="2"/>
      <c r="XDP160" s="14"/>
      <c r="XEA160" s="1"/>
      <c r="XEB160" s="1"/>
      <c r="XEC160" s="1"/>
      <c r="XED160" s="2"/>
      <c r="XEE160" s="2"/>
      <c r="XEF160" s="14"/>
      <c r="XEQ160" s="1"/>
      <c r="XER160" s="1"/>
      <c r="XES160" s="1"/>
      <c r="XET160" s="2"/>
      <c r="XEU160" s="2"/>
      <c r="XEV160" s="14"/>
    </row>
    <row r="162" spans="1:6" x14ac:dyDescent="0.2">
      <c r="A162" s="13" t="s">
        <v>20</v>
      </c>
      <c r="E162" s="37">
        <f>E130</f>
        <v>45</v>
      </c>
      <c r="F162" s="1" t="s">
        <v>21</v>
      </c>
    </row>
    <row r="163" spans="1:6" x14ac:dyDescent="0.2">
      <c r="A163" s="13" t="s">
        <v>22</v>
      </c>
      <c r="E163" s="37">
        <f>F130</f>
        <v>0</v>
      </c>
      <c r="F163" s="1" t="s">
        <v>21</v>
      </c>
    </row>
    <row r="164" spans="1:6" x14ac:dyDescent="0.2">
      <c r="A164" s="13" t="s">
        <v>23</v>
      </c>
      <c r="E164" s="37">
        <f>G130</f>
        <v>8.64</v>
      </c>
      <c r="F164" s="1" t="s">
        <v>24</v>
      </c>
    </row>
    <row r="166" spans="1:6" x14ac:dyDescent="0.2">
      <c r="A166" s="13" t="s">
        <v>25</v>
      </c>
      <c r="E166" s="38">
        <f>T33+T55+T77+T99+T121</f>
        <v>90</v>
      </c>
      <c r="F166" s="1" t="s">
        <v>26</v>
      </c>
    </row>
    <row r="167" spans="1:6" x14ac:dyDescent="0.2">
      <c r="A167" s="13" t="s">
        <v>27</v>
      </c>
      <c r="E167" s="38">
        <f>U33+U55+U77+U99+U121</f>
        <v>0</v>
      </c>
      <c r="F167" s="1" t="s">
        <v>26</v>
      </c>
    </row>
  </sheetData>
  <mergeCells count="53">
    <mergeCell ref="A160:C160"/>
    <mergeCell ref="A157:E157"/>
    <mergeCell ref="A159:C159"/>
    <mergeCell ref="A158:C158"/>
    <mergeCell ref="E102:E120"/>
    <mergeCell ref="A154:C154"/>
    <mergeCell ref="A133:E133"/>
    <mergeCell ref="G120:S120"/>
    <mergeCell ref="A121:C121"/>
    <mergeCell ref="A153:C153"/>
    <mergeCell ref="A146:C146"/>
    <mergeCell ref="A147:C147"/>
    <mergeCell ref="A148:C148"/>
    <mergeCell ref="A151:E151"/>
    <mergeCell ref="A152:C152"/>
    <mergeCell ref="A139:E139"/>
    <mergeCell ref="A140:C140"/>
    <mergeCell ref="A141:C141"/>
    <mergeCell ref="A142:C142"/>
    <mergeCell ref="A145:E145"/>
    <mergeCell ref="A136:C136"/>
    <mergeCell ref="A1:V2"/>
    <mergeCell ref="A13:C13"/>
    <mergeCell ref="A134:C134"/>
    <mergeCell ref="A135:C135"/>
    <mergeCell ref="A33:C33"/>
    <mergeCell ref="A32:C32"/>
    <mergeCell ref="A35:C35"/>
    <mergeCell ref="E36:E54"/>
    <mergeCell ref="F36:F54"/>
    <mergeCell ref="A54:C54"/>
    <mergeCell ref="G54:S54"/>
    <mergeCell ref="A55:C55"/>
    <mergeCell ref="A57:C57"/>
    <mergeCell ref="E58:E76"/>
    <mergeCell ref="F58:F76"/>
    <mergeCell ref="A76:C76"/>
    <mergeCell ref="E14:E32"/>
    <mergeCell ref="A130:D130"/>
    <mergeCell ref="G130:I130"/>
    <mergeCell ref="G32:S32"/>
    <mergeCell ref="F14:F32"/>
    <mergeCell ref="G76:S76"/>
    <mergeCell ref="A77:C77"/>
    <mergeCell ref="A79:C79"/>
    <mergeCell ref="E80:E98"/>
    <mergeCell ref="F80:F98"/>
    <mergeCell ref="A98:C98"/>
    <mergeCell ref="G98:S98"/>
    <mergeCell ref="A99:C99"/>
    <mergeCell ref="A101:C101"/>
    <mergeCell ref="F102:F120"/>
    <mergeCell ref="A120:C120"/>
  </mergeCells>
  <phoneticPr fontId="9" type="noConversion"/>
  <pageMargins left="0.23622047244094491" right="0.23622047244094491" top="0.35433070866141736" bottom="0.35433070866141736" header="0.31496062992125984" footer="0.31496062992125984"/>
  <pageSetup paperSize="9" scale="61" orientation="portrait" r:id="rId1"/>
  <rowBreaks count="1" manualBreakCount="1">
    <brk id="154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</vt:lpstr>
      <vt:lpstr>Sample!Print_Area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Tareq</dc:creator>
  <cp:lastModifiedBy>s.yurtseven</cp:lastModifiedBy>
  <cp:lastPrinted>2022-02-11T06:09:18Z</cp:lastPrinted>
  <dcterms:created xsi:type="dcterms:W3CDTF">2014-01-16T06:44:17Z</dcterms:created>
  <dcterms:modified xsi:type="dcterms:W3CDTF">2022-11-18T07:01:07Z</dcterms:modified>
</cp:coreProperties>
</file>