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A78F516D-26BD-4691-81FB-290502613791}" xr6:coauthVersionLast="47" xr6:coauthVersionMax="47" xr10:uidLastSave="{00000000-0000-0000-0000-000000000000}"/>
  <bookViews>
    <workbookView xWindow="-108" yWindow="-108" windowWidth="23256" windowHeight="12456" tabRatio="610" xr2:uid="{00000000-000D-0000-FFFF-FFFF00000000}"/>
  </bookViews>
  <sheets>
    <sheet name="Sample" sheetId="20" r:id="rId1"/>
  </sheets>
  <definedNames>
    <definedName name="_xlnm.Print_Area" localSheetId="0">Sample!$A$1:$V$53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20" l="1"/>
  <c r="C16" i="20" s="1"/>
  <c r="A17" i="20" s="1"/>
  <c r="C17" i="20" s="1"/>
  <c r="A18" i="20" s="1"/>
  <c r="C18" i="20" s="1"/>
  <c r="A19" i="20" s="1"/>
  <c r="C19" i="20" s="1"/>
  <c r="A20" i="20" s="1"/>
  <c r="C20" i="20" s="1"/>
  <c r="A21" i="20" s="1"/>
  <c r="C21" i="20" s="1"/>
  <c r="A22" i="20" s="1"/>
  <c r="C22" i="20" s="1"/>
  <c r="A23" i="20" s="1"/>
  <c r="C23" i="20" s="1"/>
  <c r="A24" i="20" s="1"/>
  <c r="C24" i="20" s="1"/>
  <c r="A25" i="20" s="1"/>
  <c r="C25" i="20" s="1"/>
  <c r="A26" i="20" s="1"/>
  <c r="C26" i="20" s="1"/>
  <c r="A27" i="20" s="1"/>
  <c r="C27" i="20" s="1"/>
  <c r="A28" i="20" s="1"/>
  <c r="C28" i="20" s="1"/>
  <c r="A29" i="20" s="1"/>
  <c r="C29" i="20" s="1"/>
  <c r="A30" i="20" s="1"/>
  <c r="C30" i="20" s="1"/>
  <c r="A31" i="20" s="1"/>
  <c r="C31" i="20" s="1"/>
  <c r="A15" i="20"/>
  <c r="C15" i="20" s="1"/>
  <c r="C14" i="20"/>
  <c r="R14" i="20" l="1"/>
  <c r="R42" i="20"/>
  <c r="O43" i="20" a="1"/>
  <c r="O43" i="20" s="1"/>
  <c r="O44" i="20" s="1"/>
  <c r="P43" i="20" a="1"/>
  <c r="P43" i="20" s="1"/>
  <c r="P44" i="20" s="1"/>
  <c r="O41" i="20"/>
  <c r="P41" i="20"/>
  <c r="N41" i="20" l="1"/>
  <c r="E8" i="20" l="1"/>
  <c r="H41" i="20"/>
  <c r="I41" i="20"/>
  <c r="J41" i="20"/>
  <c r="K41" i="20"/>
  <c r="L41" i="20"/>
  <c r="M41" i="20"/>
  <c r="Q41" i="20"/>
  <c r="G41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U18" i="20" l="1"/>
  <c r="U23" i="20"/>
  <c r="U31" i="20"/>
  <c r="U26" i="20"/>
  <c r="U17" i="20"/>
  <c r="U21" i="20"/>
  <c r="U25" i="20"/>
  <c r="U29" i="20"/>
  <c r="U22" i="20"/>
  <c r="U30" i="20"/>
  <c r="U19" i="20"/>
  <c r="U27" i="20"/>
  <c r="U20" i="20"/>
  <c r="U24" i="20"/>
  <c r="U28" i="20"/>
  <c r="U16" i="20"/>
  <c r="U15" i="20"/>
  <c r="N43" i="20" l="1" a="1"/>
  <c r="N43" i="20" s="1"/>
  <c r="N44" i="20" s="1"/>
  <c r="R43" i="20" l="1" a="1"/>
  <c r="R43" i="20" s="1"/>
  <c r="F37" i="20" s="1"/>
  <c r="J43" i="20" a="1"/>
  <c r="J43" i="20" s="1"/>
  <c r="J44" i="20" s="1"/>
  <c r="K43" i="20" a="1"/>
  <c r="K43" i="20" s="1"/>
  <c r="K44" i="20" s="1"/>
  <c r="G43" i="20" a="1"/>
  <c r="G43" i="20" s="1"/>
  <c r="G44" i="20" s="1"/>
  <c r="I43" i="20" a="1"/>
  <c r="I43" i="20" s="1"/>
  <c r="I44" i="20" s="1"/>
  <c r="H43" i="20" a="1"/>
  <c r="H43" i="20" s="1"/>
  <c r="H44" i="20" s="1"/>
  <c r="Q43" i="20" a="1"/>
  <c r="Q43" i="20" s="1"/>
  <c r="Q44" i="20" s="1"/>
  <c r="M43" i="20" a="1"/>
  <c r="M43" i="20" s="1"/>
  <c r="M44" i="20" s="1"/>
  <c r="L43" i="20" a="1"/>
  <c r="L43" i="20" s="1"/>
  <c r="L44" i="20" s="1"/>
  <c r="F38" i="20" l="1"/>
  <c r="E48" i="20" s="1"/>
  <c r="R44" i="20"/>
  <c r="U14" i="20"/>
  <c r="U32" i="20" l="1"/>
  <c r="U33" i="20" s="1"/>
  <c r="T32" i="20"/>
  <c r="T33" i="20" s="1"/>
  <c r="C37" i="20" s="1"/>
  <c r="E37" i="20" s="1"/>
  <c r="E38" i="20" s="1"/>
  <c r="E10" i="20" l="1"/>
  <c r="E47" i="20"/>
  <c r="E51" i="20"/>
  <c r="E52" i="20"/>
  <c r="G38" i="20" l="1"/>
  <c r="E49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<sst xmlns="http://schemas.openxmlformats.org/spreadsheetml/2006/main" count="65" uniqueCount="54">
  <si>
    <t>:</t>
  </si>
  <si>
    <t>C/No.</t>
  </si>
  <si>
    <t>Color</t>
  </si>
  <si>
    <t>Code</t>
  </si>
  <si>
    <t>L</t>
  </si>
  <si>
    <t>Qty/Pack</t>
  </si>
  <si>
    <t>asrt/ctn</t>
  </si>
  <si>
    <t>ctn qty</t>
  </si>
  <si>
    <t>Total</t>
  </si>
  <si>
    <t>TOTAL</t>
  </si>
  <si>
    <t>G.W.</t>
  </si>
  <si>
    <t>N.W.</t>
  </si>
  <si>
    <t>Dimension</t>
  </si>
  <si>
    <t>(CM)</t>
  </si>
  <si>
    <t>(KGS)</t>
  </si>
  <si>
    <t>W</t>
  </si>
  <si>
    <t>H</t>
  </si>
  <si>
    <t>-</t>
  </si>
  <si>
    <t xml:space="preserve">TOTAL </t>
  </si>
  <si>
    <t>Color &amp; Sizes Breakdown:</t>
  </si>
  <si>
    <t>Total Gross Weight :</t>
  </si>
  <si>
    <t>KGS</t>
  </si>
  <si>
    <t>Total Net Weight :</t>
  </si>
  <si>
    <t>Dimension :</t>
  </si>
  <si>
    <t>CBM</t>
  </si>
  <si>
    <t>Total Carton:</t>
  </si>
  <si>
    <t>pcs</t>
  </si>
  <si>
    <t>Total Quantity:</t>
  </si>
  <si>
    <t xml:space="preserve">medico order no: </t>
  </si>
  <si>
    <t>medico article no</t>
  </si>
  <si>
    <t>order qty:</t>
  </si>
  <si>
    <t>fabrics</t>
  </si>
  <si>
    <t>carton qty</t>
  </si>
  <si>
    <t>country of origin</t>
  </si>
  <si>
    <t>shipped quantity</t>
  </si>
  <si>
    <t>order quantity</t>
  </si>
  <si>
    <t>variances</t>
  </si>
  <si>
    <t>Turkey</t>
  </si>
  <si>
    <t>PACKING LIST</t>
  </si>
  <si>
    <t>FAT0048</t>
  </si>
  <si>
    <t>769274 MEDICO DROP-1</t>
  </si>
  <si>
    <t>13034-Bright White Linear Label AOP-Light Grey Melange</t>
  </si>
  <si>
    <t>13034-Bright White Linear Label AOP-Light Grey Melange - TUNINGEN AOP crew sweat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</si>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</sst>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Pcs&quot;"/>
    <numFmt numFmtId="165" formatCode="General\ &quot;KGS&quot;"/>
    <numFmt numFmtId="166" formatCode="General\ &quot;CBM&quot;"/>
  </numFmts>
  <fonts count="10" x14ac:knownFonts="1">
    <font>
      <sz val="8"/>
      <color indexed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u/>
      <sz val="18"/>
      <name val="Arial"/>
      <family val="2"/>
    </font>
    <font>
      <b/>
      <sz val="10"/>
      <name val="Arial"/>
      <family val="2"/>
      <charset val="162"/>
    </font>
    <font>
      <sz val="9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pivotButton="1"/>
    <xf numFmtId="0" fontId="2" fillId="0" borderId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2" borderId="7" xfId="0" applyNumberFormat="1" applyFont="1" applyFill="1" applyBorder="1" applyAlignment="1">
      <alignment horizontal="center" vertical="center" wrapText="1"/>
    </xf>
    <xf numFmtId="165" fontId="6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" fillId="2" borderId="4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6" fontId="2" fillId="2" borderId="15" xfId="0" applyNumberFormat="1" applyFont="1" applyFill="1" applyBorder="1" applyAlignment="1">
      <alignment horizontal="center" vertical="center"/>
    </xf>
    <xf numFmtId="166" fontId="2" fillId="2" borderId="14" xfId="0" applyNumberFormat="1" applyFont="1" applyFill="1" applyBorder="1" applyAlignment="1">
      <alignment horizontal="center" vertical="center"/>
    </xf>
    <xf numFmtId="166" fontId="2" fillId="2" borderId="1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textRotation="90"/>
    </xf>
    <xf numFmtId="0" fontId="1" fillId="0" borderId="27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</cellXfs>
  <cellStyles count="2">
    <cellStyle name="Normal" xfId="0" builtinId="0"/>
    <cellStyle name="常规_Herod Packlist_PACKING LIST - 2009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W53"/>
  <sheetViews>
    <sheetView tabSelected="1" zoomScale="70" zoomScaleNormal="70" zoomScaleSheetLayoutView="70" workbookViewId="0">
      <selection sqref="A1:V2"/>
    </sheetView>
  </sheetViews>
  <sheetFormatPr defaultColWidth="12" defaultRowHeight="13.2" x14ac:dyDescent="0.2"/>
  <cols>
    <col min="1" max="1" width="7.85546875" style="1" customWidth="1"/>
    <col min="2" max="2" width="4.140625" style="1" customWidth="1"/>
    <col min="3" max="3" width="9.42578125" style="1" customWidth="1"/>
    <col min="4" max="4" width="2.85546875" style="1" customWidth="1"/>
    <col min="5" max="5" width="34.85546875" style="1" customWidth="1"/>
    <col min="6" max="6" width="11.42578125" style="1" customWidth="1"/>
    <col min="7" max="10" width="10.28515625" style="1" customWidth="1"/>
    <col min="11" max="11" width="11.42578125" style="1" bestFit="1" customWidth="1"/>
    <col min="12" max="12" width="10" style="1" bestFit="1" customWidth="1"/>
    <col min="13" max="16" width="9.140625" style="1" customWidth="1"/>
    <col min="17" max="17" width="11.42578125" style="1" bestFit="1" customWidth="1"/>
    <col min="18" max="18" width="10" style="1" customWidth="1"/>
    <col min="19" max="19" width="10.42578125" style="1" customWidth="1"/>
    <col min="20" max="20" width="11.42578125" style="1" customWidth="1"/>
    <col min="21" max="21" width="9.28515625" style="1" customWidth="1"/>
    <col min="22" max="22" width="9.85546875" style="1" customWidth="1"/>
    <col min="23" max="16384" width="12" style="1"/>
  </cols>
  <sheetData>
    <row r="1" spans="1:23" ht="13.2" customHeight="1" x14ac:dyDescent="0.2">
      <c r="A1" s="70" t="s">
        <v>38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</row>
    <row r="2" spans="1:23" ht="13.2" customHeight="1" x14ac:dyDescent="0.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4" spans="1:23" x14ac:dyDescent="0.2">
      <c r="S4" s="13"/>
    </row>
    <row r="5" spans="1:23" x14ac:dyDescent="0.2">
      <c r="A5" s="14"/>
      <c r="B5" s="14"/>
      <c r="C5" s="14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  <c r="T5" s="17"/>
      <c r="U5" s="14"/>
      <c r="V5" s="14"/>
    </row>
    <row r="6" spans="1:23" x14ac:dyDescent="0.2">
      <c r="A6" s="13" t="s">
        <v>28</v>
      </c>
      <c r="B6" s="13"/>
      <c r="C6" s="13"/>
      <c r="D6" s="13" t="s">
        <v>0</v>
      </c>
      <c r="E6" s="16" t="s">
        <v>40</v>
      </c>
      <c r="F6" s="13"/>
      <c r="I6" s="13"/>
    </row>
    <row r="7" spans="1:23" x14ac:dyDescent="0.2">
      <c r="A7" s="13" t="s">
        <v>29</v>
      </c>
      <c r="B7" s="13"/>
      <c r="C7" s="13"/>
      <c r="D7" s="13" t="s">
        <v>0</v>
      </c>
      <c r="E7" s="16" t="s">
        <v>39</v>
      </c>
      <c r="F7" s="13"/>
      <c r="I7" s="13"/>
    </row>
    <row r="8" spans="1:23" x14ac:dyDescent="0.2">
      <c r="A8" s="13" t="s">
        <v>30</v>
      </c>
      <c r="B8" s="13"/>
      <c r="C8" s="13"/>
      <c r="D8" s="13" t="s">
        <v>0</v>
      </c>
      <c r="E8" s="18">
        <f>R42</f>
        <v>0</v>
      </c>
      <c r="F8" s="13"/>
    </row>
    <row r="9" spans="1:23" x14ac:dyDescent="0.2">
      <c r="A9" s="13" t="s">
        <v>31</v>
      </c>
      <c r="B9" s="13"/>
      <c r="C9" s="13"/>
      <c r="D9" s="13" t="s">
        <v>0</v>
      </c>
      <c r="E9" s="19"/>
      <c r="F9" s="13"/>
      <c r="G9" s="13"/>
    </row>
    <row r="10" spans="1:23" x14ac:dyDescent="0.2">
      <c r="A10" s="13" t="s">
        <v>32</v>
      </c>
      <c r="B10" s="13"/>
      <c r="C10" s="13"/>
      <c r="D10" s="13" t="s">
        <v>0</v>
      </c>
      <c r="E10" s="18">
        <f>T33</f>
        <v>18</v>
      </c>
      <c r="F10" s="13"/>
    </row>
    <row r="11" spans="1:23" x14ac:dyDescent="0.2">
      <c r="A11" s="13" t="s">
        <v>33</v>
      </c>
      <c r="B11" s="13"/>
      <c r="C11" s="13"/>
      <c r="D11" s="16" t="s">
        <v>0</v>
      </c>
      <c r="E11" s="13" t="s">
        <v>37</v>
      </c>
      <c r="F11" s="16"/>
      <c r="G11" s="16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23" ht="13.8" thickBot="1" x14ac:dyDescent="0.25"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23" x14ac:dyDescent="0.2">
      <c r="A13" s="71" t="s">
        <v>1</v>
      </c>
      <c r="B13" s="72"/>
      <c r="C13" s="73"/>
      <c r="D13" s="20"/>
      <c r="E13" s="20" t="s">
        <v>2</v>
      </c>
      <c r="F13" s="20" t="s">
        <v>3</v>
      </c>
      <c r="G13" s="20" t="s">
        <v>43</v>
      </c>
      <c r="H13" s="20" t="s">
        <v>44</v>
      </c>
      <c r="I13" s="20" t="s">
        <v>45</v>
      </c>
      <c r="J13" s="20" t="s">
        <v>46</v>
      </c>
      <c r="K13" s="20" t="s">
        <v>47</v>
      </c>
      <c r="L13" s="20" t="s">
        <v>48</v>
      </c>
      <c r="M13" s="20" t="s">
        <v>49</v>
      </c>
      <c r="N13" s="20" t="s">
        <v>50</v>
      </c>
      <c r="O13" s="20" t="s">
        <v>51</v>
      </c>
      <c r="P13" s="20" t="s">
        <v>52</v>
      </c>
      <c r="Q13" s="20" t="s">
        <v>53</v>
      </c>
      <c r="R13" s="20" t="s">
        <v>5</v>
      </c>
      <c r="S13" s="20" t="s">
        <v>6</v>
      </c>
      <c r="T13" s="20" t="s">
        <v>7</v>
      </c>
      <c r="U13" s="21" t="s">
        <v>8</v>
      </c>
    </row>
    <row r="14" spans="1:23" ht="16.5" customHeight="1" x14ac:dyDescent="0.2">
      <c r="A14" s="22">
        <v>1</v>
      </c>
      <c r="B14" s="23"/>
      <c r="C14" s="22">
        <f>A14-1+T14</f>
        <v>1</v>
      </c>
      <c r="D14" s="22"/>
      <c r="E14" s="52" t="s">
        <v>41</v>
      </c>
      <c r="F14" s="64"/>
      <c r="G14" s="23"/>
      <c r="H14" s="23"/>
      <c r="I14" s="23"/>
      <c r="J14" s="24"/>
      <c r="K14" s="23"/>
      <c r="L14" s="23"/>
      <c r="M14" s="23"/>
      <c r="N14" s="23"/>
      <c r="O14" s="23"/>
      <c r="P14" s="23"/>
      <c r="Q14" s="23"/>
      <c r="R14" s="25">
        <f>SUM(G14:Q14)</f>
        <v>0</v>
      </c>
      <c r="S14" s="25">
        <v>1</v>
      </c>
      <c r="T14" s="23">
        <v>1</v>
      </c>
      <c r="U14" s="26">
        <f>R14*S14*T14</f>
        <v>0</v>
      </c>
    </row>
    <row r="15" spans="1:23" ht="16.5" customHeight="1" x14ac:dyDescent="0.2">
      <c r="A15" s="22">
        <f>C14+1</f>
        <v>2</v>
      </c>
      <c r="B15" s="23"/>
      <c r="C15" s="22">
        <f t="shared" ref="C15:C31" si="0">A15-1+T15</f>
        <v>2</v>
      </c>
      <c r="D15" s="22"/>
      <c r="E15" s="53"/>
      <c r="F15" s="65"/>
      <c r="G15" s="23"/>
      <c r="H15" s="23"/>
      <c r="I15" s="23"/>
      <c r="J15" s="24"/>
      <c r="K15" s="23"/>
      <c r="L15" s="23"/>
      <c r="M15" s="23"/>
      <c r="N15" s="23"/>
      <c r="O15" s="23"/>
      <c r="P15" s="23"/>
      <c r="Q15" s="23"/>
      <c r="R15" s="25">
        <f t="shared" ref="R15:R31" si="1">SUM(G15:Q15)</f>
        <v>0</v>
      </c>
      <c r="S15" s="25">
        <v>1</v>
      </c>
      <c r="T15" s="23">
        <v>1</v>
      </c>
      <c r="U15" s="26">
        <f t="shared" ref="U15:U31" si="2">R15*S15*T15</f>
        <v>0</v>
      </c>
      <c r="W15" s="16"/>
    </row>
    <row r="16" spans="1:23" ht="16.5" customHeight="1" x14ac:dyDescent="0.2">
      <c r="A16" s="22">
        <f t="shared" ref="A16:A31" si="3">C15+1</f>
        <v>3</v>
      </c>
      <c r="B16" s="23"/>
      <c r="C16" s="22">
        <f t="shared" si="0"/>
        <v>3</v>
      </c>
      <c r="D16" s="22"/>
      <c r="E16" s="53"/>
      <c r="F16" s="65"/>
      <c r="G16" s="23"/>
      <c r="H16" s="23"/>
      <c r="I16" s="23"/>
      <c r="J16" s="24"/>
      <c r="K16" s="23"/>
      <c r="L16" s="23"/>
      <c r="M16" s="23"/>
      <c r="N16" s="23"/>
      <c r="O16" s="23"/>
      <c r="P16" s="23"/>
      <c r="Q16" s="23"/>
      <c r="R16" s="25">
        <f t="shared" si="1"/>
        <v>0</v>
      </c>
      <c r="S16" s="25">
        <v>1</v>
      </c>
      <c r="T16" s="23">
        <v>1</v>
      </c>
      <c r="U16" s="26">
        <f t="shared" si="2"/>
        <v>0</v>
      </c>
      <c r="W16" s="13"/>
    </row>
    <row r="17" spans="1:23" ht="16.5" customHeight="1" x14ac:dyDescent="0.2">
      <c r="A17" s="22">
        <f t="shared" si="3"/>
        <v>4</v>
      </c>
      <c r="B17" s="23"/>
      <c r="C17" s="22">
        <f t="shared" si="0"/>
        <v>4</v>
      </c>
      <c r="D17" s="22"/>
      <c r="E17" s="53"/>
      <c r="F17" s="65"/>
      <c r="G17" s="23"/>
      <c r="H17" s="23"/>
      <c r="I17" s="23"/>
      <c r="J17" s="24"/>
      <c r="K17" s="23"/>
      <c r="L17" s="23"/>
      <c r="M17" s="23"/>
      <c r="N17" s="23"/>
      <c r="O17" s="23"/>
      <c r="P17" s="23"/>
      <c r="Q17" s="23"/>
      <c r="R17" s="25">
        <f t="shared" si="1"/>
        <v>0</v>
      </c>
      <c r="S17" s="25">
        <v>1</v>
      </c>
      <c r="T17" s="23">
        <v>1</v>
      </c>
      <c r="U17" s="26">
        <f t="shared" si="2"/>
        <v>0</v>
      </c>
      <c r="W17" s="13"/>
    </row>
    <row r="18" spans="1:23" ht="16.5" customHeight="1" x14ac:dyDescent="0.2">
      <c r="A18" s="22">
        <f t="shared" si="3"/>
        <v>5</v>
      </c>
      <c r="B18" s="23"/>
      <c r="C18" s="22">
        <f t="shared" si="0"/>
        <v>5</v>
      </c>
      <c r="D18" s="22"/>
      <c r="E18" s="53"/>
      <c r="F18" s="65"/>
      <c r="G18" s="23"/>
      <c r="H18" s="23"/>
      <c r="I18" s="23"/>
      <c r="J18" s="24"/>
      <c r="K18" s="23"/>
      <c r="L18" s="23"/>
      <c r="M18" s="23"/>
      <c r="N18" s="23"/>
      <c r="O18" s="23"/>
      <c r="P18" s="23"/>
      <c r="Q18" s="23"/>
      <c r="R18" s="25">
        <f t="shared" si="1"/>
        <v>0</v>
      </c>
      <c r="S18" s="25">
        <v>1</v>
      </c>
      <c r="T18" s="23">
        <v>1</v>
      </c>
      <c r="U18" s="26">
        <f t="shared" si="2"/>
        <v>0</v>
      </c>
      <c r="W18" s="13"/>
    </row>
    <row r="19" spans="1:23" ht="16.5" customHeight="1" x14ac:dyDescent="0.2">
      <c r="A19" s="22">
        <f t="shared" si="3"/>
        <v>6</v>
      </c>
      <c r="B19" s="23"/>
      <c r="C19" s="22">
        <f t="shared" si="0"/>
        <v>6</v>
      </c>
      <c r="D19" s="22"/>
      <c r="E19" s="53"/>
      <c r="F19" s="65"/>
      <c r="G19" s="23"/>
      <c r="H19" s="23"/>
      <c r="I19" s="23"/>
      <c r="J19" s="24"/>
      <c r="K19" s="23"/>
      <c r="L19" s="23"/>
      <c r="M19" s="23"/>
      <c r="N19" s="23"/>
      <c r="O19" s="23"/>
      <c r="P19" s="23"/>
      <c r="Q19" s="23"/>
      <c r="R19" s="25">
        <f t="shared" si="1"/>
        <v>0</v>
      </c>
      <c r="S19" s="25">
        <v>1</v>
      </c>
      <c r="T19" s="23">
        <v>1</v>
      </c>
      <c r="U19" s="26">
        <f t="shared" si="2"/>
        <v>0</v>
      </c>
    </row>
    <row r="20" spans="1:23" ht="16.5" customHeight="1" x14ac:dyDescent="0.2">
      <c r="A20" s="22">
        <f t="shared" si="3"/>
        <v>7</v>
      </c>
      <c r="B20" s="23"/>
      <c r="C20" s="22">
        <f t="shared" si="0"/>
        <v>7</v>
      </c>
      <c r="D20" s="22"/>
      <c r="E20" s="53"/>
      <c r="F20" s="65"/>
      <c r="G20" s="23"/>
      <c r="H20" s="23"/>
      <c r="I20" s="23"/>
      <c r="J20" s="24"/>
      <c r="K20" s="23"/>
      <c r="L20" s="23"/>
      <c r="M20" s="23"/>
      <c r="N20" s="23"/>
      <c r="O20" s="23"/>
      <c r="P20" s="23"/>
      <c r="Q20" s="23"/>
      <c r="R20" s="25">
        <f t="shared" si="1"/>
        <v>0</v>
      </c>
      <c r="S20" s="25">
        <v>1</v>
      </c>
      <c r="T20" s="23">
        <v>1</v>
      </c>
      <c r="U20" s="26">
        <f t="shared" si="2"/>
        <v>0</v>
      </c>
    </row>
    <row r="21" spans="1:23" ht="16.5" customHeight="1" x14ac:dyDescent="0.2">
      <c r="A21" s="22">
        <f t="shared" si="3"/>
        <v>8</v>
      </c>
      <c r="B21" s="23"/>
      <c r="C21" s="22">
        <f t="shared" si="0"/>
        <v>8</v>
      </c>
      <c r="D21" s="22"/>
      <c r="E21" s="53"/>
      <c r="F21" s="65"/>
      <c r="G21" s="23"/>
      <c r="H21" s="23"/>
      <c r="I21" s="23"/>
      <c r="J21" s="24"/>
      <c r="K21" s="23"/>
      <c r="L21" s="23"/>
      <c r="M21" s="23"/>
      <c r="N21" s="23"/>
      <c r="O21" s="23"/>
      <c r="P21" s="23"/>
      <c r="Q21" s="23"/>
      <c r="R21" s="25">
        <f t="shared" si="1"/>
        <v>0</v>
      </c>
      <c r="S21" s="25">
        <v>1</v>
      </c>
      <c r="T21" s="23">
        <v>1</v>
      </c>
      <c r="U21" s="26">
        <f t="shared" si="2"/>
        <v>0</v>
      </c>
    </row>
    <row r="22" spans="1:23" ht="16.5" customHeight="1" x14ac:dyDescent="0.2">
      <c r="A22" s="22">
        <f t="shared" si="3"/>
        <v>9</v>
      </c>
      <c r="B22" s="23"/>
      <c r="C22" s="22">
        <f t="shared" si="0"/>
        <v>9</v>
      </c>
      <c r="D22" s="22"/>
      <c r="E22" s="53"/>
      <c r="F22" s="65"/>
      <c r="G22" s="23"/>
      <c r="H22" s="23"/>
      <c r="I22" s="23"/>
      <c r="J22" s="24"/>
      <c r="K22" s="23"/>
      <c r="L22" s="23"/>
      <c r="M22" s="23"/>
      <c r="N22" s="23"/>
      <c r="O22" s="23"/>
      <c r="P22" s="23"/>
      <c r="Q22" s="23"/>
      <c r="R22" s="25">
        <f t="shared" si="1"/>
        <v>0</v>
      </c>
      <c r="S22" s="25">
        <v>1</v>
      </c>
      <c r="T22" s="23">
        <v>1</v>
      </c>
      <c r="U22" s="26">
        <f t="shared" si="2"/>
        <v>0</v>
      </c>
    </row>
    <row r="23" spans="1:23" ht="16.5" customHeight="1" x14ac:dyDescent="0.2">
      <c r="A23" s="22">
        <f t="shared" si="3"/>
        <v>10</v>
      </c>
      <c r="B23" s="23"/>
      <c r="C23" s="22">
        <f t="shared" si="0"/>
        <v>10</v>
      </c>
      <c r="D23" s="22"/>
      <c r="E23" s="53"/>
      <c r="F23" s="65"/>
      <c r="G23" s="23"/>
      <c r="H23" s="23"/>
      <c r="I23" s="23"/>
      <c r="J23" s="24"/>
      <c r="K23" s="23"/>
      <c r="L23" s="23"/>
      <c r="M23" s="23"/>
      <c r="N23" s="23"/>
      <c r="O23" s="23"/>
      <c r="P23" s="23"/>
      <c r="Q23" s="23"/>
      <c r="R23" s="25">
        <f t="shared" si="1"/>
        <v>0</v>
      </c>
      <c r="S23" s="25">
        <v>1</v>
      </c>
      <c r="T23" s="23">
        <v>1</v>
      </c>
      <c r="U23" s="26">
        <f t="shared" si="2"/>
        <v>0</v>
      </c>
    </row>
    <row r="24" spans="1:23" ht="16.5" customHeight="1" x14ac:dyDescent="0.2">
      <c r="A24" s="22">
        <f t="shared" si="3"/>
        <v>11</v>
      </c>
      <c r="B24" s="23"/>
      <c r="C24" s="22">
        <f t="shared" si="0"/>
        <v>11</v>
      </c>
      <c r="D24" s="22"/>
      <c r="E24" s="53"/>
      <c r="F24" s="65"/>
      <c r="G24" s="23"/>
      <c r="H24" s="23"/>
      <c r="I24" s="23"/>
      <c r="J24" s="24"/>
      <c r="K24" s="23"/>
      <c r="L24" s="23"/>
      <c r="M24" s="23"/>
      <c r="N24" s="23"/>
      <c r="O24" s="23"/>
      <c r="P24" s="23"/>
      <c r="Q24" s="23"/>
      <c r="R24" s="25">
        <f t="shared" si="1"/>
        <v>0</v>
      </c>
      <c r="S24" s="25">
        <v>1</v>
      </c>
      <c r="T24" s="23">
        <v>1</v>
      </c>
      <c r="U24" s="26">
        <f t="shared" si="2"/>
        <v>0</v>
      </c>
    </row>
    <row r="25" spans="1:23" ht="16.5" customHeight="1" x14ac:dyDescent="0.2">
      <c r="A25" s="22">
        <f t="shared" si="3"/>
        <v>12</v>
      </c>
      <c r="B25" s="23"/>
      <c r="C25" s="22">
        <f t="shared" si="0"/>
        <v>12</v>
      </c>
      <c r="D25" s="22"/>
      <c r="E25" s="53"/>
      <c r="F25" s="65"/>
      <c r="G25" s="23"/>
      <c r="H25" s="23"/>
      <c r="I25" s="23"/>
      <c r="J25" s="24"/>
      <c r="K25" s="23"/>
      <c r="L25" s="23"/>
      <c r="M25" s="23"/>
      <c r="N25" s="23"/>
      <c r="O25" s="23"/>
      <c r="P25" s="23"/>
      <c r="Q25" s="23"/>
      <c r="R25" s="25">
        <f t="shared" si="1"/>
        <v>0</v>
      </c>
      <c r="S25" s="25">
        <v>1</v>
      </c>
      <c r="T25" s="23">
        <v>1</v>
      </c>
      <c r="U25" s="26">
        <f t="shared" si="2"/>
        <v>0</v>
      </c>
      <c r="W25" s="13"/>
    </row>
    <row r="26" spans="1:23" ht="16.5" customHeight="1" x14ac:dyDescent="0.2">
      <c r="A26" s="22">
        <f t="shared" si="3"/>
        <v>13</v>
      </c>
      <c r="B26" s="23"/>
      <c r="C26" s="22">
        <f t="shared" si="0"/>
        <v>13</v>
      </c>
      <c r="D26" s="22"/>
      <c r="E26" s="53"/>
      <c r="F26" s="65"/>
      <c r="G26" s="23"/>
      <c r="H26" s="23"/>
      <c r="I26" s="23"/>
      <c r="J26" s="24"/>
      <c r="K26" s="23"/>
      <c r="L26" s="23"/>
      <c r="M26" s="23"/>
      <c r="N26" s="23"/>
      <c r="O26" s="23"/>
      <c r="P26" s="23"/>
      <c r="Q26" s="23"/>
      <c r="R26" s="25">
        <f t="shared" si="1"/>
        <v>0</v>
      </c>
      <c r="S26" s="25">
        <v>1</v>
      </c>
      <c r="T26" s="23">
        <v>1</v>
      </c>
      <c r="U26" s="26">
        <f t="shared" si="2"/>
        <v>0</v>
      </c>
    </row>
    <row r="27" spans="1:23" ht="16.5" customHeight="1" x14ac:dyDescent="0.2">
      <c r="A27" s="22">
        <f t="shared" si="3"/>
        <v>14</v>
      </c>
      <c r="B27" s="23"/>
      <c r="C27" s="22">
        <f t="shared" si="0"/>
        <v>14</v>
      </c>
      <c r="D27" s="22"/>
      <c r="E27" s="53"/>
      <c r="F27" s="65"/>
      <c r="G27" s="23"/>
      <c r="H27" s="23"/>
      <c r="I27" s="23"/>
      <c r="J27" s="24"/>
      <c r="K27" s="23"/>
      <c r="L27" s="23"/>
      <c r="M27" s="23"/>
      <c r="N27" s="23"/>
      <c r="O27" s="23"/>
      <c r="P27" s="23"/>
      <c r="Q27" s="23"/>
      <c r="R27" s="25">
        <f t="shared" si="1"/>
        <v>0</v>
      </c>
      <c r="S27" s="25">
        <v>1</v>
      </c>
      <c r="T27" s="23">
        <v>1</v>
      </c>
      <c r="U27" s="26">
        <f t="shared" si="2"/>
        <v>0</v>
      </c>
    </row>
    <row r="28" spans="1:23" ht="16.5" customHeight="1" x14ac:dyDescent="0.2">
      <c r="A28" s="22">
        <f t="shared" si="3"/>
        <v>15</v>
      </c>
      <c r="B28" s="23"/>
      <c r="C28" s="22">
        <f t="shared" si="0"/>
        <v>15</v>
      </c>
      <c r="D28" s="22"/>
      <c r="E28" s="53"/>
      <c r="F28" s="65"/>
      <c r="G28" s="23"/>
      <c r="H28" s="23"/>
      <c r="I28" s="23"/>
      <c r="J28" s="24"/>
      <c r="K28" s="23"/>
      <c r="L28" s="23"/>
      <c r="M28" s="23"/>
      <c r="N28" s="23"/>
      <c r="O28" s="23"/>
      <c r="P28" s="23"/>
      <c r="Q28" s="23"/>
      <c r="R28" s="25">
        <f t="shared" si="1"/>
        <v>0</v>
      </c>
      <c r="S28" s="25">
        <v>1</v>
      </c>
      <c r="T28" s="23">
        <v>1</v>
      </c>
      <c r="U28" s="26">
        <f t="shared" si="2"/>
        <v>0</v>
      </c>
    </row>
    <row r="29" spans="1:23" ht="16.5" customHeight="1" x14ac:dyDescent="0.2">
      <c r="A29" s="22">
        <f t="shared" si="3"/>
        <v>16</v>
      </c>
      <c r="B29" s="23"/>
      <c r="C29" s="22">
        <f t="shared" si="0"/>
        <v>16</v>
      </c>
      <c r="D29" s="22"/>
      <c r="E29" s="53"/>
      <c r="F29" s="65"/>
      <c r="G29" s="23"/>
      <c r="H29" s="23"/>
      <c r="I29" s="23"/>
      <c r="J29" s="24"/>
      <c r="K29" s="23"/>
      <c r="L29" s="23"/>
      <c r="M29" s="23"/>
      <c r="N29" s="23"/>
      <c r="O29" s="23"/>
      <c r="P29" s="23"/>
      <c r="Q29" s="23"/>
      <c r="R29" s="25">
        <f t="shared" si="1"/>
        <v>0</v>
      </c>
      <c r="S29" s="25">
        <v>1</v>
      </c>
      <c r="T29" s="23">
        <v>1</v>
      </c>
      <c r="U29" s="26">
        <f t="shared" si="2"/>
        <v>0</v>
      </c>
    </row>
    <row r="30" spans="1:23" ht="16.5" customHeight="1" x14ac:dyDescent="0.2">
      <c r="A30" s="22">
        <f t="shared" si="3"/>
        <v>17</v>
      </c>
      <c r="B30" s="23"/>
      <c r="C30" s="22">
        <f t="shared" si="0"/>
        <v>17</v>
      </c>
      <c r="D30" s="22"/>
      <c r="E30" s="53"/>
      <c r="F30" s="65"/>
      <c r="G30" s="23"/>
      <c r="H30" s="23"/>
      <c r="I30" s="23"/>
      <c r="J30" s="24"/>
      <c r="K30" s="23"/>
      <c r="L30" s="23"/>
      <c r="M30" s="23"/>
      <c r="N30" s="23"/>
      <c r="O30" s="23"/>
      <c r="P30" s="23"/>
      <c r="Q30" s="23"/>
      <c r="R30" s="25">
        <f t="shared" si="1"/>
        <v>0</v>
      </c>
      <c r="S30" s="25">
        <v>1</v>
      </c>
      <c r="T30" s="23">
        <v>1</v>
      </c>
      <c r="U30" s="26">
        <f t="shared" si="2"/>
        <v>0</v>
      </c>
    </row>
    <row r="31" spans="1:23" ht="16.5" customHeight="1" x14ac:dyDescent="0.2">
      <c r="A31" s="22">
        <f t="shared" si="3"/>
        <v>18</v>
      </c>
      <c r="B31" s="23"/>
      <c r="C31" s="22">
        <f t="shared" si="0"/>
        <v>18</v>
      </c>
      <c r="D31" s="22"/>
      <c r="E31" s="53"/>
      <c r="F31" s="65"/>
      <c r="G31" s="23"/>
      <c r="H31" s="23"/>
      <c r="I31" s="23"/>
      <c r="J31" s="24"/>
      <c r="K31" s="23"/>
      <c r="L31" s="23"/>
      <c r="M31" s="23"/>
      <c r="N31" s="23"/>
      <c r="O31" s="23"/>
      <c r="P31" s="23"/>
      <c r="Q31" s="23"/>
      <c r="R31" s="25">
        <f t="shared" si="1"/>
        <v>0</v>
      </c>
      <c r="S31" s="25">
        <v>1</v>
      </c>
      <c r="T31" s="23">
        <v>1</v>
      </c>
      <c r="U31" s="26">
        <f t="shared" si="2"/>
        <v>0</v>
      </c>
    </row>
    <row r="32" spans="1:23" ht="15" customHeight="1" x14ac:dyDescent="0.2">
      <c r="A32" s="80"/>
      <c r="B32" s="81"/>
      <c r="C32" s="82"/>
      <c r="D32" s="27"/>
      <c r="E32" s="54"/>
      <c r="F32" s="66"/>
      <c r="G32" s="61" t="s">
        <v>9</v>
      </c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3"/>
      <c r="T32" s="23">
        <f>SUM(T14:T31)</f>
        <v>18</v>
      </c>
      <c r="U32" s="26">
        <f>SUM(U14:U31)</f>
        <v>0</v>
      </c>
    </row>
    <row r="33" spans="1:21" ht="13.5" customHeight="1" thickBot="1" x14ac:dyDescent="0.25">
      <c r="A33" s="77" t="s">
        <v>9</v>
      </c>
      <c r="B33" s="78"/>
      <c r="C33" s="79"/>
      <c r="D33" s="11"/>
      <c r="E33" s="11"/>
      <c r="F33" s="10"/>
      <c r="G33" s="9"/>
      <c r="H33" s="9"/>
      <c r="I33" s="9"/>
      <c r="J33" s="12"/>
      <c r="K33" s="9"/>
      <c r="L33" s="9"/>
      <c r="M33" s="9"/>
      <c r="N33" s="12"/>
      <c r="O33" s="12"/>
      <c r="P33" s="12"/>
      <c r="Q33" s="12"/>
      <c r="R33" s="9"/>
      <c r="S33" s="9"/>
      <c r="T33" s="47">
        <f>+T32</f>
        <v>18</v>
      </c>
      <c r="U33" s="48">
        <f>+U32</f>
        <v>0</v>
      </c>
    </row>
    <row r="34" spans="1:21" ht="17.25" customHeight="1" x14ac:dyDescent="0.2"/>
    <row r="35" spans="1:21" ht="13.5" customHeight="1" x14ac:dyDescent="0.2">
      <c r="E35" s="1" t="s">
        <v>10</v>
      </c>
      <c r="F35" s="1" t="s">
        <v>11</v>
      </c>
      <c r="G35" s="1" t="s">
        <v>12</v>
      </c>
      <c r="I35" s="1" t="s">
        <v>13</v>
      </c>
    </row>
    <row r="36" spans="1:21" ht="13.8" thickBot="1" x14ac:dyDescent="0.25">
      <c r="A36" s="1" t="s">
        <v>1</v>
      </c>
      <c r="E36" s="1" t="s">
        <v>14</v>
      </c>
      <c r="F36" s="1" t="s">
        <v>14</v>
      </c>
      <c r="G36" s="1" t="s">
        <v>4</v>
      </c>
      <c r="H36" s="1" t="s">
        <v>15</v>
      </c>
      <c r="I36" s="1" t="s">
        <v>16</v>
      </c>
      <c r="U36" s="13"/>
    </row>
    <row r="37" spans="1:21" ht="13.5" customHeight="1" thickBot="1" x14ac:dyDescent="0.25">
      <c r="A37" s="28">
        <v>1</v>
      </c>
      <c r="B37" s="29" t="s">
        <v>17</v>
      </c>
      <c r="C37" s="30">
        <f>T33</f>
        <v>18</v>
      </c>
      <c r="D37" s="30"/>
      <c r="E37" s="29">
        <f>+C37*0.5+F37</f>
        <v>9</v>
      </c>
      <c r="F37" s="29">
        <f>R43*0.3</f>
        <v>0</v>
      </c>
      <c r="G37" s="29">
        <v>60</v>
      </c>
      <c r="H37" s="29">
        <v>40</v>
      </c>
      <c r="I37" s="31">
        <v>40</v>
      </c>
      <c r="K37" s="13"/>
    </row>
    <row r="38" spans="1:21" ht="22.2" customHeight="1" thickBot="1" x14ac:dyDescent="0.25">
      <c r="A38" s="55" t="s">
        <v>18</v>
      </c>
      <c r="B38" s="56"/>
      <c r="C38" s="56"/>
      <c r="D38" s="57"/>
      <c r="E38" s="3">
        <f>SUM(E37:E37)</f>
        <v>9</v>
      </c>
      <c r="F38" s="4">
        <f>SUM(F37:F37)</f>
        <v>0</v>
      </c>
      <c r="G38" s="58">
        <f>(G37*H37*I37*E51/1000000)</f>
        <v>1.728</v>
      </c>
      <c r="H38" s="59"/>
      <c r="I38" s="60"/>
    </row>
    <row r="39" spans="1:21" ht="13.95" customHeight="1" x14ac:dyDescent="0.2">
      <c r="A39" s="5"/>
      <c r="B39" s="5"/>
      <c r="C39" s="5"/>
      <c r="D39" s="5"/>
      <c r="E39" s="6"/>
      <c r="F39" s="7"/>
      <c r="G39" s="8"/>
      <c r="H39" s="8"/>
      <c r="I39" s="8"/>
    </row>
    <row r="40" spans="1:21" ht="13.8" thickBot="1" x14ac:dyDescent="0.25">
      <c r="A40" s="13" t="s">
        <v>19</v>
      </c>
    </row>
    <row r="41" spans="1:21" ht="32.4" customHeight="1" x14ac:dyDescent="0.2">
      <c r="A41" s="67" t="s">
        <v>42</v>
      </c>
      <c r="B41" s="68"/>
      <c r="C41" s="68"/>
      <c r="D41" s="68"/>
      <c r="E41" s="69"/>
      <c r="F41" s="32"/>
      <c r="G41" s="33" t="str">
        <f>G13</f>
        <v>G13</v>
      </c>
      <c r="H41" s="33" t="str">
        <f t="shared" ref="H41:Q41" si="4">H13</f>
        <v>H13</v>
      </c>
      <c r="I41" s="33" t="str">
        <f t="shared" si="4"/>
        <v>I13</v>
      </c>
      <c r="J41" s="33" t="str">
        <f t="shared" si="4"/>
        <v>J13</v>
      </c>
      <c r="K41" s="33" t="str">
        <f t="shared" si="4"/>
        <v>K13</v>
      </c>
      <c r="L41" s="33" t="str">
        <f t="shared" si="4"/>
        <v>L13</v>
      </c>
      <c r="M41" s="33" t="str">
        <f t="shared" si="4"/>
        <v>M13</v>
      </c>
      <c r="N41" s="33" t="str">
        <f t="shared" si="4"/>
        <v>N13</v>
      </c>
      <c r="O41" s="33" t="str">
        <f t="shared" si="4"/>
        <v>O13</v>
      </c>
      <c r="P41" s="33" t="str">
        <f t="shared" si="4"/>
        <v>P13</v>
      </c>
      <c r="Q41" s="33" t="str">
        <f t="shared" si="4"/>
        <v>Q13</v>
      </c>
      <c r="R41" s="34" t="s">
        <v>8</v>
      </c>
    </row>
    <row r="42" spans="1:21" ht="14.4" x14ac:dyDescent="0.2">
      <c r="A42" s="74" t="s">
        <v>35</v>
      </c>
      <c r="B42" s="75"/>
      <c r="C42" s="76"/>
      <c r="D42" s="35"/>
      <c r="E42" s="36"/>
      <c r="F42" s="37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>
        <f>SUM(G42:Q42)</f>
        <v>0</v>
      </c>
      <c r="T42" s="13"/>
    </row>
    <row r="43" spans="1:21" ht="12.6" customHeight="1" x14ac:dyDescent="0.2">
      <c r="A43" s="74" t="s">
        <v>34</v>
      </c>
      <c r="B43" s="75"/>
      <c r="C43" s="76"/>
      <c r="D43" s="35"/>
      <c r="E43" s="36"/>
      <c r="F43" s="37"/>
      <c r="G43" s="38" cm="1">
        <f t="array" ref="G43">SUM(G14:G31*$T14:$T31)</f>
        <v>0</v>
      </c>
      <c r="H43" s="38" cm="1">
        <f t="array" ref="H43">SUM(H14:H31*$T14:$T31)</f>
        <v>0</v>
      </c>
      <c r="I43" s="38" cm="1">
        <f t="array" ref="I43">SUM(I14:I31*$T14:$T31)</f>
        <v>0</v>
      </c>
      <c r="J43" s="38" cm="1">
        <f t="array" ref="J43">SUM(J14:J31*$T14:$T31)</f>
        <v>0</v>
      </c>
      <c r="K43" s="38" cm="1">
        <f t="array" ref="K43">SUM(K14:K31*$T14:$T31)</f>
        <v>0</v>
      </c>
      <c r="L43" s="38" cm="1">
        <f t="array" ref="L43">SUM(L14:L31*$T14:$T31)</f>
        <v>0</v>
      </c>
      <c r="M43" s="38" cm="1">
        <f t="array" ref="M43">SUM(M14:M31*$T14:$T31)</f>
        <v>0</v>
      </c>
      <c r="N43" s="38" cm="1">
        <f t="array" ref="N43">SUM(N14:N31*$T14:$T31)</f>
        <v>0</v>
      </c>
      <c r="O43" s="38" cm="1">
        <f t="array" ref="O43">SUM(O14:O31*$T14:$T31)</f>
        <v>0</v>
      </c>
      <c r="P43" s="38" cm="1">
        <f t="array" ref="P43">SUM(P14:P31*$T14:$T31)</f>
        <v>0</v>
      </c>
      <c r="Q43" s="38" cm="1">
        <f t="array" ref="Q43">SUM(Q14:Q31*$T14:$T31)</f>
        <v>0</v>
      </c>
      <c r="R43" s="39" cm="1">
        <f t="array" ref="R43">SUM(R14:R31*$T14:$T31)</f>
        <v>0</v>
      </c>
    </row>
    <row r="44" spans="1:21" ht="12.6" customHeight="1" thickBot="1" x14ac:dyDescent="0.25">
      <c r="A44" s="49" t="s">
        <v>36</v>
      </c>
      <c r="B44" s="50"/>
      <c r="C44" s="51"/>
      <c r="D44" s="40"/>
      <c r="E44" s="41"/>
      <c r="F44" s="42"/>
      <c r="G44" s="43">
        <f>G43-G42</f>
        <v>0</v>
      </c>
      <c r="H44" s="43">
        <f t="shared" ref="H44:Q44" si="5">H43-H42</f>
        <v>0</v>
      </c>
      <c r="I44" s="43">
        <f t="shared" si="5"/>
        <v>0</v>
      </c>
      <c r="J44" s="43">
        <f t="shared" si="5"/>
        <v>0</v>
      </c>
      <c r="K44" s="43">
        <f>K43-K42</f>
        <v>0</v>
      </c>
      <c r="L44" s="43">
        <f t="shared" si="5"/>
        <v>0</v>
      </c>
      <c r="M44" s="43">
        <f t="shared" si="5"/>
        <v>0</v>
      </c>
      <c r="N44" s="43">
        <f t="shared" si="5"/>
        <v>0</v>
      </c>
      <c r="O44" s="43">
        <f t="shared" ref="O44:P44" si="6">O43-O42</f>
        <v>0</v>
      </c>
      <c r="P44" s="43">
        <f t="shared" si="6"/>
        <v>0</v>
      </c>
      <c r="Q44" s="43">
        <f t="shared" si="5"/>
        <v>0</v>
      </c>
      <c r="R44" s="44">
        <f>R43-R42</f>
        <v>0</v>
      </c>
    </row>
    <row r="45" spans="1:21" ht="12.75" customHeight="1" x14ac:dyDescent="0.2">
      <c r="A45" s="2"/>
      <c r="B45" s="2"/>
      <c r="C45" s="2"/>
      <c r="D45" s="2"/>
      <c r="E45" s="2"/>
      <c r="F45" s="2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2"/>
    </row>
    <row r="46" spans="1:21" s="2" customFormat="1" ht="10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1" s="2" customFormat="1" x14ac:dyDescent="0.2">
      <c r="A47" s="13" t="s">
        <v>20</v>
      </c>
      <c r="B47" s="1"/>
      <c r="C47" s="1"/>
      <c r="D47" s="1"/>
      <c r="E47" s="45">
        <f>E38</f>
        <v>9</v>
      </c>
      <c r="F47" s="1" t="s">
        <v>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1" s="2" customFormat="1" x14ac:dyDescent="0.2">
      <c r="A48" s="13" t="s">
        <v>22</v>
      </c>
      <c r="B48" s="1"/>
      <c r="C48" s="1"/>
      <c r="D48" s="1"/>
      <c r="E48" s="45">
        <f>F38</f>
        <v>0</v>
      </c>
      <c r="F48" s="1" t="s">
        <v>21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6" x14ac:dyDescent="0.2">
      <c r="A49" s="13" t="s">
        <v>23</v>
      </c>
      <c r="E49" s="45">
        <f>G38</f>
        <v>1.728</v>
      </c>
      <c r="F49" s="1" t="s">
        <v>24</v>
      </c>
    </row>
    <row r="50" spans="1:6" ht="10.5" customHeight="1" x14ac:dyDescent="0.2"/>
    <row r="51" spans="1:6" x14ac:dyDescent="0.2">
      <c r="A51" s="13" t="s">
        <v>25</v>
      </c>
      <c r="E51" s="46">
        <f>T33</f>
        <v>18</v>
      </c>
      <c r="F51" s="1" t="s">
        <v>26</v>
      </c>
    </row>
    <row r="52" spans="1:6" x14ac:dyDescent="0.2">
      <c r="A52" s="13" t="s">
        <v>27</v>
      </c>
      <c r="E52" s="46">
        <f>U33</f>
        <v>0</v>
      </c>
      <c r="F52" s="1" t="s">
        <v>26</v>
      </c>
    </row>
    <row r="53" spans="1:6" ht="10.5" customHeight="1" x14ac:dyDescent="0.2"/>
  </sheetData>
  <mergeCells count="13">
    <mergeCell ref="A1:V2"/>
    <mergeCell ref="A13:C13"/>
    <mergeCell ref="A42:C42"/>
    <mergeCell ref="A43:C43"/>
    <mergeCell ref="A33:C33"/>
    <mergeCell ref="A32:C32"/>
    <mergeCell ref="A44:C44"/>
    <mergeCell ref="E14:E32"/>
    <mergeCell ref="A38:D38"/>
    <mergeCell ref="G38:I38"/>
    <mergeCell ref="G32:S32"/>
    <mergeCell ref="F14:F32"/>
    <mergeCell ref="A41:E41"/>
  </mergeCells>
  <phoneticPr fontId="9" type="noConversion"/>
  <pageMargins left="0.23622047244094491" right="0.23622047244094491" top="0.35433070866141736" bottom="0.35433070866141736" header="0.31496062992125984" footer="0.31496062992125984"/>
  <pageSetup paperSize="9" scale="61" orientation="portrait" r:id="rId1"/>
  <rowBreaks count="1" manualBreakCount="1">
    <brk id="56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</dc:creator>
  <cp:lastModifiedBy>s.yurtseven</cp:lastModifiedBy>
  <cp:lastPrinted>2022-02-11T06:09:18Z</cp:lastPrinted>
  <dcterms:created xsi:type="dcterms:W3CDTF">2014-01-16T06:44:17Z</dcterms:created>
  <dcterms:modified xsi:type="dcterms:W3CDTF">2022-11-18T06:02:51Z</dcterms:modified>
</cp:coreProperties>
</file>