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yurtseven\PycharmProjects\pythonProject\AutoPyxl\"/>
    </mc:Choice>
  </mc:AlternateContent>
  <xr:revisionPtr revIDLastSave="0" documentId="13_ncr:1_{AC5F8E6F-3BC8-4698-968F-A1345B9E305F}" xr6:coauthVersionLast="47" xr6:coauthVersionMax="47" xr10:uidLastSave="{00000000-0000-0000-0000-000000000000}"/>
  <bookViews>
    <workbookView xWindow="-108" yWindow="-108" windowWidth="23256" windowHeight="12456" tabRatio="610" xr2:uid="{00000000-000D-0000-FFFF-FFFF00000000}"/>
  </bookViews>
  <sheets>
    <sheet name="Sample" sheetId="20" r:id="rId1"/>
  </sheets>
  <definedNames>
    <definedName name="_xlnm.Print_Area" localSheetId="0">Sample!$A$1:$V$143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4" i="20" l="1"/>
  <c r="A125" i="20" s="1"/>
  <c r="C125" i="20" s="1"/>
  <c r="A126" i="20" s="1"/>
  <c r="C126" i="20" s="1"/>
  <c r="A127" i="20" s="1"/>
  <c r="C127" i="20" s="1"/>
  <c r="A128" i="20" s="1"/>
  <c r="C128" i="20" s="1"/>
  <c r="A129" i="20" s="1"/>
  <c r="C129" i="20" s="1"/>
  <c r="A130" i="20" s="1"/>
  <c r="C130" i="20" s="1"/>
  <c r="A131" i="20" s="1"/>
  <c r="C131" i="20" s="1"/>
  <c r="A132" i="20" s="1"/>
  <c r="C132" i="20" s="1"/>
  <c r="A133" i="20" s="1"/>
  <c r="C133" i="20" s="1"/>
  <c r="A134" i="20" s="1"/>
  <c r="C134" i="20" s="1"/>
  <c r="A135" i="20" s="1"/>
  <c r="C135" i="20" s="1"/>
  <c r="A136" i="20" s="1"/>
  <c r="C136" i="20" s="1"/>
  <c r="A137" i="20" s="1"/>
  <c r="C137" i="20" s="1"/>
  <c r="A138" i="20" s="1"/>
  <c r="C138" i="20" s="1"/>
  <c r="A139" i="20" s="1"/>
  <c r="C139" i="20" s="1"/>
  <c r="A140" i="20" s="1"/>
  <c r="C140" i="20" s="1"/>
  <c r="A141" i="20" s="1"/>
  <c r="C141" i="20" s="1"/>
  <c r="C102" i="20"/>
  <c r="A103" i="20" s="1"/>
  <c r="C103" i="20" s="1"/>
  <c r="A104" i="20" s="1"/>
  <c r="C104" i="20" s="1"/>
  <c r="A105" i="20" s="1"/>
  <c r="C105" i="20" s="1"/>
  <c r="A106" i="20" s="1"/>
  <c r="C106" i="20" s="1"/>
  <c r="A107" i="20" s="1"/>
  <c r="C107" i="20" s="1"/>
  <c r="A108" i="20" s="1"/>
  <c r="C108" i="20" s="1"/>
  <c r="A109" i="20" s="1"/>
  <c r="C109" i="20" s="1"/>
  <c r="A110" i="20" s="1"/>
  <c r="C110" i="20" s="1"/>
  <c r="A111" i="20" s="1"/>
  <c r="C111" i="20" s="1"/>
  <c r="A112" i="20" s="1"/>
  <c r="C112" i="20" s="1"/>
  <c r="A113" i="20" s="1"/>
  <c r="C113" i="20" s="1"/>
  <c r="A114" i="20" s="1"/>
  <c r="C114" i="20" s="1"/>
  <c r="A115" i="20" s="1"/>
  <c r="C115" i="20" s="1"/>
  <c r="A116" i="20" s="1"/>
  <c r="C116" i="20" s="1"/>
  <c r="A117" i="20" s="1"/>
  <c r="C117" i="20" s="1"/>
  <c r="A118" i="20" s="1"/>
  <c r="C118" i="20" s="1"/>
  <c r="A119" i="20" s="1"/>
  <c r="C119" i="20" s="1"/>
  <c r="A81" i="20"/>
  <c r="C81" i="20" s="1"/>
  <c r="A82" i="20" s="1"/>
  <c r="C82" i="20" s="1"/>
  <c r="A83" i="20" s="1"/>
  <c r="C83" i="20" s="1"/>
  <c r="A84" i="20" s="1"/>
  <c r="C84" i="20" s="1"/>
  <c r="A85" i="20" s="1"/>
  <c r="C85" i="20" s="1"/>
  <c r="A86" i="20" s="1"/>
  <c r="C86" i="20" s="1"/>
  <c r="A87" i="20" s="1"/>
  <c r="C87" i="20" s="1"/>
  <c r="A88" i="20" s="1"/>
  <c r="C88" i="20" s="1"/>
  <c r="A89" i="20" s="1"/>
  <c r="C89" i="20" s="1"/>
  <c r="A90" i="20" s="1"/>
  <c r="C90" i="20" s="1"/>
  <c r="A91" i="20" s="1"/>
  <c r="C91" i="20" s="1"/>
  <c r="A92" i="20" s="1"/>
  <c r="C92" i="20" s="1"/>
  <c r="A93" i="20" s="1"/>
  <c r="C93" i="20" s="1"/>
  <c r="A94" i="20" s="1"/>
  <c r="C94" i="20" s="1"/>
  <c r="A95" i="20" s="1"/>
  <c r="C95" i="20" s="1"/>
  <c r="A96" i="20" s="1"/>
  <c r="C96" i="20" s="1"/>
  <c r="A97" i="20" s="1"/>
  <c r="C97" i="20" s="1"/>
  <c r="C80" i="20"/>
  <c r="C58" i="20"/>
  <c r="A59" i="20" s="1"/>
  <c r="C59" i="20" s="1"/>
  <c r="A60" i="20" s="1"/>
  <c r="C60" i="20" s="1"/>
  <c r="A61" i="20" s="1"/>
  <c r="C61" i="20" s="1"/>
  <c r="A62" i="20" s="1"/>
  <c r="C62" i="20" s="1"/>
  <c r="A63" i="20" s="1"/>
  <c r="C63" i="20" s="1"/>
  <c r="A64" i="20" s="1"/>
  <c r="C64" i="20" s="1"/>
  <c r="A65" i="20" s="1"/>
  <c r="C65" i="20" s="1"/>
  <c r="A66" i="20" s="1"/>
  <c r="C66" i="20" s="1"/>
  <c r="A67" i="20" s="1"/>
  <c r="C67" i="20" s="1"/>
  <c r="A68" i="20" s="1"/>
  <c r="C68" i="20" s="1"/>
  <c r="A69" i="20" s="1"/>
  <c r="C69" i="20" s="1"/>
  <c r="A70" i="20" s="1"/>
  <c r="C70" i="20" s="1"/>
  <c r="A71" i="20" s="1"/>
  <c r="C71" i="20" s="1"/>
  <c r="A72" i="20" s="1"/>
  <c r="C72" i="20" s="1"/>
  <c r="A73" i="20" s="1"/>
  <c r="C73" i="20" s="1"/>
  <c r="A74" i="20" s="1"/>
  <c r="C74" i="20" s="1"/>
  <c r="A75" i="20" s="1"/>
  <c r="C75" i="20" s="1"/>
  <c r="C36" i="20"/>
  <c r="A37" i="20" s="1"/>
  <c r="C37" i="20" s="1"/>
  <c r="A38" i="20" s="1"/>
  <c r="C38" i="20" s="1"/>
  <c r="A39" i="20" s="1"/>
  <c r="C39" i="20" s="1"/>
  <c r="A40" i="20" s="1"/>
  <c r="C40" i="20" s="1"/>
  <c r="A41" i="20" s="1"/>
  <c r="C41" i="20" s="1"/>
  <c r="A42" i="20" s="1"/>
  <c r="C42" i="20" s="1"/>
  <c r="A43" i="20" s="1"/>
  <c r="C43" i="20" s="1"/>
  <c r="A44" i="20" s="1"/>
  <c r="C44" i="20" s="1"/>
  <c r="A45" i="20" s="1"/>
  <c r="C45" i="20" s="1"/>
  <c r="A46" i="20" s="1"/>
  <c r="C46" i="20" s="1"/>
  <c r="A47" i="20" s="1"/>
  <c r="C47" i="20" s="1"/>
  <c r="A48" i="20" s="1"/>
  <c r="C48" i="20" s="1"/>
  <c r="A49" i="20" s="1"/>
  <c r="C49" i="20" s="1"/>
  <c r="A50" i="20" s="1"/>
  <c r="C50" i="20" s="1"/>
  <c r="A51" i="20" s="1"/>
  <c r="C51" i="20" s="1"/>
  <c r="A52" i="20" s="1"/>
  <c r="C52" i="20" s="1"/>
  <c r="A53" i="20" s="1"/>
  <c r="C53" i="20" s="1"/>
  <c r="C14" i="20"/>
  <c r="A15" i="20" s="1"/>
  <c r="C15" i="20" s="1"/>
  <c r="A16" i="20" s="1"/>
  <c r="C16" i="20" s="1"/>
  <c r="A17" i="20" s="1"/>
  <c r="C17" i="20" s="1"/>
  <c r="A18" i="20" s="1"/>
  <c r="C18" i="20" s="1"/>
  <c r="A19" i="20" s="1"/>
  <c r="C19" i="20" s="1"/>
  <c r="A20" i="20" s="1"/>
  <c r="C20" i="20" s="1"/>
  <c r="A21" i="20" s="1"/>
  <c r="C21" i="20" s="1"/>
  <c r="A22" i="20" s="1"/>
  <c r="C22" i="20" s="1"/>
  <c r="A23" i="20" s="1"/>
  <c r="C23" i="20" s="1"/>
  <c r="A24" i="20" s="1"/>
  <c r="C24" i="20" s="1"/>
  <c r="A25" i="20" s="1"/>
  <c r="C25" i="20" s="1"/>
  <c r="A26" i="20" s="1"/>
  <c r="C26" i="20" s="1"/>
  <c r="A27" i="20" s="1"/>
  <c r="C27" i="20" s="1"/>
  <c r="A28" i="20" s="1"/>
  <c r="C28" i="20" s="1"/>
  <c r="A29" i="20" s="1"/>
  <c r="C29" i="20" s="1"/>
  <c r="A30" i="20" s="1"/>
  <c r="C30" i="20" s="1"/>
  <c r="A31" i="20" s="1"/>
  <c r="C31" i="20" s="1"/>
  <c r="T142" i="20"/>
  <c r="T143" i="20" s="1"/>
  <c r="T120" i="20"/>
  <c r="T121" i="20" s="1"/>
  <c r="T98" i="20"/>
  <c r="T99" i="20" s="1"/>
  <c r="T77" i="20"/>
  <c r="T76" i="20"/>
  <c r="T54" i="20"/>
  <c r="T55" i="20" s="1"/>
  <c r="T32" i="20"/>
  <c r="T33" i="20" s="1"/>
  <c r="R124" i="20" l="1"/>
  <c r="R187" i="20"/>
  <c r="R181" i="20"/>
  <c r="R175" i="20"/>
  <c r="R169" i="20"/>
  <c r="R163" i="20"/>
  <c r="O168" i="20"/>
  <c r="P168" i="20"/>
  <c r="O170" i="20" a="1"/>
  <c r="O170" i="20" s="1"/>
  <c r="O171" i="20" s="1"/>
  <c r="P170" i="20" a="1"/>
  <c r="P170" i="20" s="1"/>
  <c r="P171" i="20" s="1"/>
  <c r="O174" i="20"/>
  <c r="P174" i="20"/>
  <c r="O176" i="20" a="1"/>
  <c r="O176" i="20" s="1"/>
  <c r="O177" i="20" s="1"/>
  <c r="P176" i="20" a="1"/>
  <c r="P176" i="20"/>
  <c r="P177" i="20" s="1"/>
  <c r="O180" i="20"/>
  <c r="P180" i="20"/>
  <c r="O182" i="20" a="1"/>
  <c r="O182" i="20" s="1"/>
  <c r="O183" i="20" s="1"/>
  <c r="P182" i="20" a="1"/>
  <c r="P182" i="20"/>
  <c r="P183" i="20" s="1"/>
  <c r="O186" i="20"/>
  <c r="P186" i="20"/>
  <c r="O188" i="20" a="1"/>
  <c r="O188" i="20" s="1"/>
  <c r="O189" i="20" s="1"/>
  <c r="P188" i="20" a="1"/>
  <c r="P188" i="20" s="1"/>
  <c r="P189" i="20" s="1"/>
  <c r="O162" i="20"/>
  <c r="P162" i="20"/>
  <c r="O164" i="20" a="1"/>
  <c r="O164" i="20" s="1"/>
  <c r="O165" i="20" s="1"/>
  <c r="P164" i="20" a="1"/>
  <c r="P164" i="20" s="1"/>
  <c r="P165" i="20" s="1"/>
  <c r="O156" i="20"/>
  <c r="P156" i="20"/>
  <c r="O158" i="20" a="1"/>
  <c r="O158" i="20" s="1"/>
  <c r="O159" i="20" s="1"/>
  <c r="P158" i="20" a="1"/>
  <c r="P158" i="20" s="1"/>
  <c r="P159" i="20" s="1"/>
  <c r="O123" i="20"/>
  <c r="P123" i="20"/>
  <c r="O101" i="20"/>
  <c r="P101" i="20"/>
  <c r="O79" i="20"/>
  <c r="P79" i="20"/>
  <c r="O57" i="20"/>
  <c r="P57" i="20"/>
  <c r="O35" i="20"/>
  <c r="P35" i="20"/>
  <c r="Q186" i="20" l="1"/>
  <c r="N186" i="20"/>
  <c r="M186" i="20"/>
  <c r="L186" i="20"/>
  <c r="K186" i="20"/>
  <c r="J186" i="20"/>
  <c r="I186" i="20"/>
  <c r="H186" i="20"/>
  <c r="G186" i="20"/>
  <c r="R141" i="20"/>
  <c r="R140" i="20"/>
  <c r="R139" i="20"/>
  <c r="R138" i="20"/>
  <c r="R137" i="20"/>
  <c r="R136" i="20"/>
  <c r="R135" i="20"/>
  <c r="R134" i="20"/>
  <c r="R133" i="20"/>
  <c r="R132" i="20"/>
  <c r="R131" i="20"/>
  <c r="R130" i="20"/>
  <c r="R129" i="20"/>
  <c r="R128" i="20"/>
  <c r="R127" i="20"/>
  <c r="R126" i="20"/>
  <c r="R125" i="20"/>
  <c r="U124" i="20"/>
  <c r="Q123" i="20"/>
  <c r="N123" i="20"/>
  <c r="M123" i="20"/>
  <c r="L123" i="20"/>
  <c r="K123" i="20"/>
  <c r="J123" i="20"/>
  <c r="I123" i="20"/>
  <c r="H123" i="20"/>
  <c r="G123" i="20"/>
  <c r="Q180" i="20"/>
  <c r="N180" i="20"/>
  <c r="M180" i="20"/>
  <c r="L180" i="20"/>
  <c r="K180" i="20"/>
  <c r="J180" i="20"/>
  <c r="I180" i="20"/>
  <c r="H180" i="20"/>
  <c r="G180" i="20"/>
  <c r="R119" i="20"/>
  <c r="R118" i="20"/>
  <c r="R117" i="20"/>
  <c r="R116" i="20"/>
  <c r="R115" i="20"/>
  <c r="R114" i="20"/>
  <c r="R113" i="20"/>
  <c r="R112" i="20"/>
  <c r="R111" i="20"/>
  <c r="R110" i="20"/>
  <c r="R109" i="20"/>
  <c r="R108" i="20"/>
  <c r="R107" i="20"/>
  <c r="R106" i="20"/>
  <c r="R105" i="20"/>
  <c r="R104" i="20"/>
  <c r="R103" i="20"/>
  <c r="R102" i="20"/>
  <c r="U102" i="20" s="1"/>
  <c r="Q101" i="20"/>
  <c r="N101" i="20"/>
  <c r="M101" i="20"/>
  <c r="L101" i="20"/>
  <c r="K101" i="20"/>
  <c r="J101" i="20"/>
  <c r="I101" i="20"/>
  <c r="H101" i="20"/>
  <c r="G101" i="20"/>
  <c r="Q79" i="20"/>
  <c r="N79" i="20"/>
  <c r="M79" i="20"/>
  <c r="L79" i="20"/>
  <c r="K79" i="20"/>
  <c r="J79" i="20"/>
  <c r="I79" i="20"/>
  <c r="H79" i="20"/>
  <c r="G79" i="20"/>
  <c r="Q57" i="20"/>
  <c r="N57" i="20"/>
  <c r="M57" i="20"/>
  <c r="L57" i="20"/>
  <c r="K57" i="20"/>
  <c r="J57" i="20"/>
  <c r="I57" i="20"/>
  <c r="H57" i="20"/>
  <c r="G57" i="20"/>
  <c r="Q35" i="20"/>
  <c r="N35" i="20"/>
  <c r="M35" i="20"/>
  <c r="L35" i="20"/>
  <c r="K35" i="20"/>
  <c r="J35" i="20"/>
  <c r="I35" i="20"/>
  <c r="H35" i="20"/>
  <c r="G35" i="20"/>
  <c r="R157" i="20"/>
  <c r="Q174" i="20"/>
  <c r="Q168" i="20"/>
  <c r="Q162" i="20"/>
  <c r="Q156" i="20"/>
  <c r="R97" i="20"/>
  <c r="R96" i="20"/>
  <c r="R95" i="20"/>
  <c r="R94" i="20"/>
  <c r="R93" i="20"/>
  <c r="R92" i="20"/>
  <c r="R91" i="20"/>
  <c r="R90" i="20"/>
  <c r="R89" i="20"/>
  <c r="R88" i="20"/>
  <c r="R87" i="20"/>
  <c r="R86" i="20"/>
  <c r="R85" i="20"/>
  <c r="R84" i="20"/>
  <c r="R83" i="20"/>
  <c r="R82" i="20"/>
  <c r="R81" i="20"/>
  <c r="R80" i="20"/>
  <c r="R75" i="20"/>
  <c r="R74" i="20"/>
  <c r="R73" i="20"/>
  <c r="R72" i="20"/>
  <c r="R71" i="20"/>
  <c r="R70" i="20"/>
  <c r="R69" i="20"/>
  <c r="R68" i="20"/>
  <c r="R67" i="20"/>
  <c r="R66" i="20"/>
  <c r="R65" i="20"/>
  <c r="R64" i="20"/>
  <c r="R63" i="20"/>
  <c r="R62" i="20"/>
  <c r="R61" i="20"/>
  <c r="R60" i="20"/>
  <c r="R59" i="20"/>
  <c r="R58" i="20"/>
  <c r="R43" i="20"/>
  <c r="R53" i="20"/>
  <c r="R52" i="20"/>
  <c r="R51" i="20"/>
  <c r="R50" i="20"/>
  <c r="R49" i="20"/>
  <c r="R48" i="20"/>
  <c r="R47" i="20"/>
  <c r="R46" i="20"/>
  <c r="R45" i="20"/>
  <c r="R44" i="20"/>
  <c r="R42" i="20"/>
  <c r="R41" i="20"/>
  <c r="R40" i="20"/>
  <c r="R39" i="20"/>
  <c r="R38" i="20"/>
  <c r="R37" i="20"/>
  <c r="R36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N174" i="20"/>
  <c r="M174" i="20"/>
  <c r="L174" i="20"/>
  <c r="K174" i="20"/>
  <c r="J174" i="20"/>
  <c r="I174" i="20"/>
  <c r="H174" i="20"/>
  <c r="G174" i="20"/>
  <c r="N168" i="20"/>
  <c r="M168" i="20"/>
  <c r="L168" i="20"/>
  <c r="K168" i="20"/>
  <c r="J168" i="20"/>
  <c r="I168" i="20"/>
  <c r="H168" i="20"/>
  <c r="G168" i="20"/>
  <c r="N162" i="20"/>
  <c r="M162" i="20"/>
  <c r="L162" i="20"/>
  <c r="K162" i="20"/>
  <c r="J162" i="20"/>
  <c r="I162" i="20"/>
  <c r="H162" i="20"/>
  <c r="G162" i="20"/>
  <c r="H156" i="20"/>
  <c r="I156" i="20"/>
  <c r="J156" i="20"/>
  <c r="K156" i="20"/>
  <c r="L156" i="20"/>
  <c r="M156" i="20"/>
  <c r="N156" i="20"/>
  <c r="G156" i="20"/>
  <c r="K188" i="20" l="1" a="1"/>
  <c r="K188" i="20" s="1"/>
  <c r="J188" i="20" a="1"/>
  <c r="J188" i="20" s="1"/>
  <c r="Q188" i="20" a="1"/>
  <c r="Q188" i="20" s="1"/>
  <c r="N188" i="20" a="1"/>
  <c r="N188" i="20" s="1"/>
  <c r="I188" i="20" a="1"/>
  <c r="I188" i="20" s="1"/>
  <c r="H188" i="20" a="1"/>
  <c r="H188" i="20" s="1"/>
  <c r="M188" i="20" a="1"/>
  <c r="M188" i="20" s="1"/>
  <c r="G188" i="20" a="1"/>
  <c r="G188" i="20" s="1"/>
  <c r="G189" i="20" s="1"/>
  <c r="L188" i="20" a="1"/>
  <c r="L188" i="20" s="1"/>
  <c r="R188" i="20" a="1"/>
  <c r="R188" i="20" s="1"/>
  <c r="F152" i="20" s="1"/>
  <c r="U108" i="20"/>
  <c r="U135" i="20"/>
  <c r="U128" i="20"/>
  <c r="U136" i="20"/>
  <c r="U140" i="20"/>
  <c r="U125" i="20"/>
  <c r="U141" i="20"/>
  <c r="U129" i="20"/>
  <c r="U126" i="20"/>
  <c r="U130" i="20"/>
  <c r="U134" i="20"/>
  <c r="C152" i="20"/>
  <c r="U133" i="20"/>
  <c r="U137" i="20"/>
  <c r="U131" i="20"/>
  <c r="U127" i="20"/>
  <c r="U138" i="20"/>
  <c r="U132" i="20"/>
  <c r="U139" i="20"/>
  <c r="K182" i="20" a="1"/>
  <c r="K182" i="20" s="1"/>
  <c r="K183" i="20" s="1"/>
  <c r="I182" i="20" a="1"/>
  <c r="I182" i="20" s="1"/>
  <c r="I183" i="20" s="1"/>
  <c r="Q182" i="20" a="1"/>
  <c r="Q182" i="20" s="1"/>
  <c r="Q183" i="20" s="1"/>
  <c r="J182" i="20" a="1"/>
  <c r="J182" i="20" s="1"/>
  <c r="J183" i="20" s="1"/>
  <c r="N182" i="20" a="1"/>
  <c r="N182" i="20" s="1"/>
  <c r="N183" i="20" s="1"/>
  <c r="M182" i="20" a="1"/>
  <c r="M182" i="20" s="1"/>
  <c r="M183" i="20" s="1"/>
  <c r="H182" i="20" a="1"/>
  <c r="H182" i="20" s="1"/>
  <c r="H183" i="20" s="1"/>
  <c r="L182" i="20" a="1"/>
  <c r="L182" i="20" s="1"/>
  <c r="L183" i="20" s="1"/>
  <c r="R182" i="20" a="1"/>
  <c r="R182" i="20" s="1"/>
  <c r="U110" i="20"/>
  <c r="U114" i="20"/>
  <c r="U118" i="20"/>
  <c r="G182" i="20" a="1"/>
  <c r="G182" i="20" s="1"/>
  <c r="G183" i="20" s="1"/>
  <c r="U106" i="20"/>
  <c r="U109" i="20"/>
  <c r="U119" i="20"/>
  <c r="U103" i="20"/>
  <c r="C151" i="20"/>
  <c r="U107" i="20"/>
  <c r="U104" i="20"/>
  <c r="U111" i="20"/>
  <c r="U112" i="20"/>
  <c r="U117" i="20"/>
  <c r="U105" i="20"/>
  <c r="U115" i="20"/>
  <c r="U116" i="20"/>
  <c r="U113" i="20"/>
  <c r="U97" i="20"/>
  <c r="U81" i="20"/>
  <c r="U73" i="20"/>
  <c r="E152" i="20" l="1"/>
  <c r="R183" i="20"/>
  <c r="F151" i="20"/>
  <c r="E8" i="20"/>
  <c r="U142" i="20"/>
  <c r="U143" i="20" s="1"/>
  <c r="U120" i="20"/>
  <c r="U121" i="20" s="1"/>
  <c r="R170" i="20" a="1"/>
  <c r="R170" i="20" s="1"/>
  <c r="F149" i="20" s="1"/>
  <c r="R164" i="20" a="1"/>
  <c r="R164" i="20" s="1"/>
  <c r="F148" i="20" s="1"/>
  <c r="L176" i="20" a="1"/>
  <c r="L176" i="20" s="1"/>
  <c r="K176" i="20" a="1"/>
  <c r="K176" i="20" s="1"/>
  <c r="J176" i="20" a="1"/>
  <c r="J176" i="20" s="1"/>
  <c r="I176" i="20" a="1"/>
  <c r="I176" i="20" s="1"/>
  <c r="H176" i="20" a="1"/>
  <c r="H176" i="20" s="1"/>
  <c r="Q176" i="20" a="1"/>
  <c r="Q176" i="20" s="1"/>
  <c r="Q177" i="20" s="1"/>
  <c r="N176" i="20" a="1"/>
  <c r="N176" i="20" s="1"/>
  <c r="M176" i="20" a="1"/>
  <c r="M176" i="20" s="1"/>
  <c r="L170" i="20" a="1"/>
  <c r="L170" i="20" s="1"/>
  <c r="K170" i="20" a="1"/>
  <c r="K170" i="20" s="1"/>
  <c r="J170" i="20" a="1"/>
  <c r="J170" i="20" s="1"/>
  <c r="I170" i="20" a="1"/>
  <c r="I170" i="20" s="1"/>
  <c r="G170" i="20" a="1"/>
  <c r="G170" i="20" s="1"/>
  <c r="H170" i="20" a="1"/>
  <c r="H170" i="20" s="1"/>
  <c r="Q170" i="20" a="1"/>
  <c r="Q170" i="20" s="1"/>
  <c r="Q171" i="20" s="1"/>
  <c r="N170" i="20" a="1"/>
  <c r="N170" i="20" s="1"/>
  <c r="M170" i="20" a="1"/>
  <c r="M170" i="20" s="1"/>
  <c r="I164" i="20" a="1"/>
  <c r="I164" i="20" s="1"/>
  <c r="H164" i="20" a="1"/>
  <c r="H164" i="20" s="1"/>
  <c r="J164" i="20" a="1"/>
  <c r="J164" i="20" s="1"/>
  <c r="Q164" i="20" a="1"/>
  <c r="Q164" i="20" s="1"/>
  <c r="Q165" i="20" s="1"/>
  <c r="G164" i="20" a="1"/>
  <c r="G164" i="20" s="1"/>
  <c r="L164" i="20" a="1"/>
  <c r="L164" i="20" s="1"/>
  <c r="N164" i="20" a="1"/>
  <c r="N164" i="20" s="1"/>
  <c r="M164" i="20" a="1"/>
  <c r="M164" i="20" s="1"/>
  <c r="K164" i="20" a="1"/>
  <c r="K164" i="20" s="1"/>
  <c r="R176" i="20" a="1"/>
  <c r="R176" i="20" s="1"/>
  <c r="F150" i="20" s="1"/>
  <c r="G176" i="20" a="1"/>
  <c r="G176" i="20" s="1"/>
  <c r="U60" i="20"/>
  <c r="U64" i="20"/>
  <c r="U58" i="20"/>
  <c r="U71" i="20"/>
  <c r="U75" i="20"/>
  <c r="U83" i="20"/>
  <c r="U91" i="20"/>
  <c r="U95" i="20"/>
  <c r="U68" i="20"/>
  <c r="U59" i="20"/>
  <c r="U67" i="20"/>
  <c r="U82" i="20"/>
  <c r="U90" i="20"/>
  <c r="U53" i="20"/>
  <c r="U80" i="20"/>
  <c r="U84" i="20"/>
  <c r="U88" i="20"/>
  <c r="U92" i="20"/>
  <c r="U62" i="20"/>
  <c r="U66" i="20"/>
  <c r="U74" i="20"/>
  <c r="U85" i="20"/>
  <c r="U70" i="20"/>
  <c r="U94" i="20"/>
  <c r="U65" i="20"/>
  <c r="U89" i="20"/>
  <c r="C149" i="20"/>
  <c r="U72" i="20"/>
  <c r="U96" i="20"/>
  <c r="U86" i="20"/>
  <c r="U63" i="20"/>
  <c r="U69" i="20"/>
  <c r="U87" i="20"/>
  <c r="U93" i="20"/>
  <c r="U61" i="20"/>
  <c r="U36" i="20"/>
  <c r="U44" i="20"/>
  <c r="U52" i="20"/>
  <c r="U38" i="20"/>
  <c r="U42" i="20"/>
  <c r="U46" i="20"/>
  <c r="U50" i="20"/>
  <c r="U39" i="20"/>
  <c r="U47" i="20"/>
  <c r="U37" i="20"/>
  <c r="U45" i="20"/>
  <c r="U49" i="20"/>
  <c r="C148" i="20"/>
  <c r="U51" i="20"/>
  <c r="U40" i="20"/>
  <c r="U48" i="20"/>
  <c r="U41" i="20"/>
  <c r="U43" i="20"/>
  <c r="U18" i="20"/>
  <c r="U23" i="20"/>
  <c r="U31" i="20"/>
  <c r="U26" i="20"/>
  <c r="U17" i="20"/>
  <c r="U21" i="20"/>
  <c r="U25" i="20"/>
  <c r="U29" i="20"/>
  <c r="U22" i="20"/>
  <c r="U30" i="20"/>
  <c r="U19" i="20"/>
  <c r="U27" i="20"/>
  <c r="U20" i="20"/>
  <c r="U24" i="20"/>
  <c r="U28" i="20"/>
  <c r="U16" i="20"/>
  <c r="U15" i="20"/>
  <c r="R189" i="20" l="1"/>
  <c r="Q189" i="20"/>
  <c r="H189" i="20"/>
  <c r="E149" i="20"/>
  <c r="U98" i="20"/>
  <c r="U99" i="20" s="1"/>
  <c r="U76" i="20"/>
  <c r="U77" i="20" s="1"/>
  <c r="U54" i="20"/>
  <c r="I189" i="20" l="1"/>
  <c r="M189" i="20"/>
  <c r="N189" i="20"/>
  <c r="L189" i="20"/>
  <c r="K189" i="20"/>
  <c r="J189" i="20"/>
  <c r="C150" i="20"/>
  <c r="E150" i="20" s="1"/>
  <c r="J158" i="20" a="1"/>
  <c r="J158" i="20" s="1"/>
  <c r="J159" i="20" s="1"/>
  <c r="I158" i="20" a="1"/>
  <c r="I158" i="20" s="1"/>
  <c r="I159" i="20" s="1"/>
  <c r="H158" i="20" a="1"/>
  <c r="H158" i="20" s="1"/>
  <c r="H159" i="20" s="1"/>
  <c r="N158" i="20" a="1"/>
  <c r="N158" i="20" s="1"/>
  <c r="N159" i="20" s="1"/>
  <c r="L158" i="20" a="1"/>
  <c r="L158" i="20" s="1"/>
  <c r="L159" i="20" s="1"/>
  <c r="Q158" i="20" a="1"/>
  <c r="Q158" i="20" s="1"/>
  <c r="Q159" i="20" s="1"/>
  <c r="G158" i="20" a="1"/>
  <c r="G158" i="20" s="1"/>
  <c r="G159" i="20" s="1"/>
  <c r="M158" i="20" a="1"/>
  <c r="M158" i="20" s="1"/>
  <c r="M159" i="20" s="1"/>
  <c r="K158" i="20" a="1"/>
  <c r="K158" i="20" s="1"/>
  <c r="K159" i="20" s="1"/>
  <c r="R158" i="20" a="1"/>
  <c r="R158" i="20" s="1"/>
  <c r="R159" i="20" s="1"/>
  <c r="U55" i="20"/>
  <c r="U14" i="20" l="1"/>
  <c r="U32" i="20" l="1"/>
  <c r="U33" i="20" l="1"/>
  <c r="E196" i="20" s="1"/>
  <c r="G177" i="20"/>
  <c r="N177" i="20"/>
  <c r="M177" i="20"/>
  <c r="I171" i="20"/>
  <c r="G171" i="20"/>
  <c r="R171" i="20"/>
  <c r="L171" i="20"/>
  <c r="E195" i="20"/>
  <c r="G165" i="20"/>
  <c r="J165" i="20"/>
  <c r="L165" i="20" l="1"/>
  <c r="G153" i="20"/>
  <c r="E193" i="20" s="1"/>
  <c r="F147" i="20"/>
  <c r="F153" i="20" s="1"/>
  <c r="E148" i="20"/>
  <c r="J177" i="20"/>
  <c r="M165" i="20"/>
  <c r="K171" i="20"/>
  <c r="R177" i="20"/>
  <c r="E151" i="20" s="1"/>
  <c r="J171" i="20"/>
  <c r="K177" i="20"/>
  <c r="M171" i="20"/>
  <c r="N171" i="20"/>
  <c r="H177" i="20"/>
  <c r="H171" i="20"/>
  <c r="I177" i="20"/>
  <c r="L177" i="20"/>
  <c r="N165" i="20"/>
  <c r="H165" i="20"/>
  <c r="C147" i="20"/>
  <c r="I165" i="20"/>
  <c r="E10" i="20"/>
  <c r="K165" i="20"/>
  <c r="R165" i="20"/>
  <c r="E192" i="20" l="1"/>
  <c r="E147" i="20"/>
  <c r="E153" i="20" s="1"/>
  <c r="E191" i="2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<sst xmlns="http://schemas.openxmlformats.org/spreadsheetml/2006/main" count="150" uniqueCount="54">
  <si>
    <t>:</t>
  </si>
  <si>
    <t>C/No.</t>
  </si>
  <si>
    <t>Color</t>
  </si>
  <si>
    <t>Code</t>
  </si>
  <si>
    <t>L</t>
  </si>
  <si>
    <t>Qty/Pack</t>
  </si>
  <si>
    <t>asrt/ctn</t>
  </si>
  <si>
    <t>ctn qty</t>
  </si>
  <si>
    <t>Total</t>
  </si>
  <si>
    <t>TOTAL</t>
  </si>
  <si>
    <t>G.W.</t>
  </si>
  <si>
    <t>N.W.</t>
  </si>
  <si>
    <t>Dimension</t>
  </si>
  <si>
    <t>(CM)</t>
  </si>
  <si>
    <t>(KGS)</t>
  </si>
  <si>
    <t>W</t>
  </si>
  <si>
    <t>H</t>
  </si>
  <si>
    <t>-</t>
  </si>
  <si>
    <t xml:space="preserve">TOTAL </t>
  </si>
  <si>
    <t>Color &amp; Sizes Breakdown:</t>
  </si>
  <si>
    <t>Total Gross Weight :</t>
  </si>
  <si>
    <t>KGS</t>
  </si>
  <si>
    <t>Total Net Weight :</t>
  </si>
  <si>
    <t>Dimension :</t>
  </si>
  <si>
    <t>CBM</t>
  </si>
  <si>
    <t>Total Carton:</t>
  </si>
  <si>
    <t>pcs</t>
  </si>
  <si>
    <t>Total Quantity:</t>
  </si>
  <si>
    <t xml:space="preserve">medico order no: </t>
  </si>
  <si>
    <t>medico article no</t>
  </si>
  <si>
    <t>order qty:</t>
  </si>
  <si>
    <t>fabrics</t>
  </si>
  <si>
    <t>carton qty</t>
  </si>
  <si>
    <t>country of origin</t>
  </si>
  <si>
    <t>shipped quantity</t>
  </si>
  <si>
    <t>order quantity</t>
  </si>
  <si>
    <t>variances</t>
  </si>
  <si>
    <t>Turkey</t>
  </si>
  <si>
    <t>PACKING LIST</t>
  </si>
  <si>
    <t>FAT0048</t>
  </si>
  <si>
    <t>769274 MEDICO DROP-1</t>
  </si>
  <si>
    <t>13034-Bright White Linear Label AOP-Light Grey Melange</t>
  </si>
  <si>
    <t>13034-Bright White Linear Label AOP-Light Grey Melange - TUNINGEN AOP crew sweat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</si>
  <si>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</si>
  <si>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</si>
  <si>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</si>
  <si>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</si>
  <si>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</si>
  <si>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</si>
  <si>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</si>
  <si>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</si>
  <si>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</si>
  <si>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</si>
  <si>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Q13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</si>
</sst>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Pcs&quot;"/>
    <numFmt numFmtId="165" formatCode="General\ &quot;KGS&quot;"/>
    <numFmt numFmtId="166" formatCode="General\ &quot;CBM&quot;"/>
  </numFmts>
  <fonts count="10" x14ac:knownFonts="1">
    <font>
      <sz val="8"/>
      <color indexed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u/>
      <sz val="18"/>
      <name val="Arial"/>
      <family val="2"/>
    </font>
    <font>
      <b/>
      <sz val="10"/>
      <name val="Arial"/>
      <family val="2"/>
      <charset val="162"/>
    </font>
    <font>
      <sz val="9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pivotButton="1"/>
    <xf numFmtId="0" fontId="2" fillId="0" borderId="0"/>
  </cellStyleXfs>
  <cellXfs count="86">
    <xf numFmtId="0" fontId="0" fillId="0" borderId="0" xfId="0"/>
    <xf numFmtId="0" fontId="2" fillId="0" borderId="0" xfId="0" applyFont="1" applyAlignment="1">
      <alignment vertical="center"/>
    </xf>
    <xf numFmtId="165" fontId="2" fillId="2" borderId="7" xfId="0" applyNumberFormat="1" applyFont="1" applyFill="1" applyBorder="1" applyAlignment="1">
      <alignment horizontal="center" vertical="center" wrapText="1"/>
    </xf>
    <xf numFmtId="165" fontId="6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1" fillId="2" borderId="4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6" fontId="2" fillId="2" borderId="15" xfId="0" applyNumberFormat="1" applyFont="1" applyFill="1" applyBorder="1" applyAlignment="1">
      <alignment horizontal="center" vertical="center"/>
    </xf>
    <xf numFmtId="166" fontId="2" fillId="2" borderId="14" xfId="0" applyNumberFormat="1" applyFont="1" applyFill="1" applyBorder="1" applyAlignment="1">
      <alignment horizontal="center" vertical="center"/>
    </xf>
    <xf numFmtId="166" fontId="2" fillId="2" borderId="16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18" xfId="0" quotePrefix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2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</cellXfs>
  <cellStyles count="2">
    <cellStyle name="Normal" xfId="0" builtinId="0"/>
    <cellStyle name="常规_Herod Packlist_PACKING LIST - 2009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W196"/>
  <sheetViews>
    <sheetView tabSelected="1" zoomScale="70" zoomScaleNormal="70" zoomScaleSheetLayoutView="70" workbookViewId="0">
      <selection sqref="A1:V2"/>
    </sheetView>
  </sheetViews>
  <sheetFormatPr defaultColWidth="12" defaultRowHeight="13.2" x14ac:dyDescent="0.2"/>
  <cols>
    <col min="1" max="1" width="7.85546875" style="1" customWidth="1"/>
    <col min="2" max="2" width="4.140625" style="1" customWidth="1"/>
    <col min="3" max="3" width="9.42578125" style="1" customWidth="1"/>
    <col min="4" max="4" width="2.85546875" style="1" customWidth="1"/>
    <col min="5" max="5" width="34.85546875" style="1" customWidth="1"/>
    <col min="6" max="6" width="11.42578125" style="1" customWidth="1"/>
    <col min="7" max="10" width="10.28515625" style="1" customWidth="1"/>
    <col min="11" max="11" width="11.42578125" style="1" bestFit="1" customWidth="1"/>
    <col min="12" max="12" width="10" style="1" bestFit="1" customWidth="1"/>
    <col min="13" max="13" width="9.140625" style="1" customWidth="1"/>
    <col min="14" max="14" width="11.42578125" style="1" bestFit="1" customWidth="1"/>
    <col min="15" max="17" width="11.42578125" style="1" customWidth="1"/>
    <col min="18" max="18" width="10" style="1" customWidth="1"/>
    <col min="19" max="19" width="10.42578125" style="1" customWidth="1"/>
    <col min="20" max="20" width="11.42578125" style="1" customWidth="1"/>
    <col min="21" max="21" width="9.28515625" style="1" customWidth="1"/>
    <col min="22" max="22" width="9.85546875" style="1" customWidth="1"/>
    <col min="23" max="16384" width="12" style="1"/>
  </cols>
  <sheetData>
    <row r="1" spans="1:23" ht="13.2" customHeight="1" x14ac:dyDescent="0.2">
      <c r="A1" s="76" t="s">
        <v>38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3" ht="13.2" customHeight="1" x14ac:dyDescent="0.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4" spans="1:23" x14ac:dyDescent="0.2">
      <c r="S4" s="12"/>
    </row>
    <row r="5" spans="1:23" x14ac:dyDescent="0.2">
      <c r="A5" s="13"/>
      <c r="B5" s="13"/>
      <c r="C5" s="13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  <c r="T5" s="16"/>
      <c r="U5" s="13"/>
      <c r="V5" s="13"/>
    </row>
    <row r="6" spans="1:23" x14ac:dyDescent="0.2">
      <c r="A6" s="12" t="s">
        <v>28</v>
      </c>
      <c r="B6" s="12"/>
      <c r="C6" s="12"/>
      <c r="D6" s="12" t="s">
        <v>0</v>
      </c>
      <c r="E6" s="15" t="s">
        <v>40</v>
      </c>
      <c r="F6" s="12"/>
      <c r="I6" s="12"/>
    </row>
    <row r="7" spans="1:23" x14ac:dyDescent="0.2">
      <c r="A7" s="12" t="s">
        <v>29</v>
      </c>
      <c r="B7" s="12"/>
      <c r="C7" s="12"/>
      <c r="D7" s="12" t="s">
        <v>0</v>
      </c>
      <c r="E7" s="15" t="s">
        <v>39</v>
      </c>
      <c r="F7" s="12"/>
      <c r="I7" s="12"/>
    </row>
    <row r="8" spans="1:23" x14ac:dyDescent="0.2">
      <c r="A8" s="12" t="s">
        <v>30</v>
      </c>
      <c r="B8" s="12"/>
      <c r="C8" s="12"/>
      <c r="D8" s="12" t="s">
        <v>0</v>
      </c>
      <c r="E8" s="17">
        <f>R157+R163+R169+R175+R181+R187</f>
        <v>0</v>
      </c>
      <c r="F8" s="12"/>
    </row>
    <row r="9" spans="1:23" x14ac:dyDescent="0.2">
      <c r="A9" s="12" t="s">
        <v>31</v>
      </c>
      <c r="B9" s="12"/>
      <c r="C9" s="12"/>
      <c r="D9" s="12" t="s">
        <v>0</v>
      </c>
      <c r="E9" s="18"/>
      <c r="F9" s="12"/>
      <c r="G9" s="12"/>
    </row>
    <row r="10" spans="1:23" x14ac:dyDescent="0.2">
      <c r="A10" s="12" t="s">
        <v>32</v>
      </c>
      <c r="B10" s="12"/>
      <c r="C10" s="12"/>
      <c r="D10" s="12" t="s">
        <v>0</v>
      </c>
      <c r="E10" s="17">
        <f>T33</f>
        <v>18</v>
      </c>
      <c r="F10" s="12"/>
    </row>
    <row r="11" spans="1:23" x14ac:dyDescent="0.2">
      <c r="A11" s="12" t="s">
        <v>33</v>
      </c>
      <c r="B11" s="12"/>
      <c r="C11" s="12"/>
      <c r="D11" s="15" t="s">
        <v>0</v>
      </c>
      <c r="E11" s="12" t="s">
        <v>37</v>
      </c>
      <c r="F11" s="15"/>
      <c r="G11" s="15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23" ht="13.8" thickBot="1" x14ac:dyDescent="0.25"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23" x14ac:dyDescent="0.2">
      <c r="A13" s="70" t="s">
        <v>1</v>
      </c>
      <c r="B13" s="71"/>
      <c r="C13" s="72"/>
      <c r="D13" s="19"/>
      <c r="E13" s="19" t="s">
        <v>2</v>
      </c>
      <c r="F13" s="19" t="s">
        <v>3</v>
      </c>
      <c r="G13" s="19" t="s">
        <v>43</v>
      </c>
      <c r="H13" s="19" t="s">
        <v>44</v>
      </c>
      <c r="I13" s="19" t="s">
        <v>45</v>
      </c>
      <c r="J13" s="19" t="s">
        <v>46</v>
      </c>
      <c r="K13" s="19" t="s">
        <v>47</v>
      </c>
      <c r="L13" s="19" t="s">
        <v>48</v>
      </c>
      <c r="M13" s="19" t="s">
        <v>49</v>
      </c>
      <c r="N13" s="19" t="s">
        <v>50</v>
      </c>
      <c r="O13" s="19" t="s">
        <v>51</v>
      </c>
      <c r="P13" s="19" t="s">
        <v>52</v>
      </c>
      <c r="Q13" s="19" t="s">
        <v>53</v>
      </c>
      <c r="R13" s="19" t="s">
        <v>5</v>
      </c>
      <c r="S13" s="19" t="s">
        <v>6</v>
      </c>
      <c r="T13" s="19" t="s">
        <v>7</v>
      </c>
      <c r="U13" s="20" t="s">
        <v>8</v>
      </c>
    </row>
    <row r="14" spans="1:23" ht="16.5" customHeight="1" x14ac:dyDescent="0.2">
      <c r="A14" s="21">
        <v>1</v>
      </c>
      <c r="B14" s="22"/>
      <c r="C14" s="21">
        <f>A14-1+T14</f>
        <v>1</v>
      </c>
      <c r="D14" s="21"/>
      <c r="E14" s="52" t="s">
        <v>41</v>
      </c>
      <c r="F14" s="64"/>
      <c r="G14" s="22"/>
      <c r="H14" s="22"/>
      <c r="I14" s="22"/>
      <c r="J14" s="23"/>
      <c r="K14" s="22"/>
      <c r="L14" s="22"/>
      <c r="M14" s="22"/>
      <c r="N14" s="22"/>
      <c r="O14" s="22"/>
      <c r="P14" s="22"/>
      <c r="Q14" s="22"/>
      <c r="R14" s="24">
        <f>SUM(G14:Q14)</f>
        <v>0</v>
      </c>
      <c r="S14" s="24">
        <v>1</v>
      </c>
      <c r="T14" s="22">
        <v>1</v>
      </c>
      <c r="U14" s="25">
        <f>R14*S14*T14</f>
        <v>0</v>
      </c>
    </row>
    <row r="15" spans="1:23" ht="16.5" customHeight="1" x14ac:dyDescent="0.2">
      <c r="A15" s="21">
        <f>C14+1</f>
        <v>2</v>
      </c>
      <c r="B15" s="22"/>
      <c r="C15" s="21">
        <f t="shared" ref="C15:C31" si="0">A15-1+T15</f>
        <v>2</v>
      </c>
      <c r="D15" s="21"/>
      <c r="E15" s="53"/>
      <c r="F15" s="65"/>
      <c r="G15" s="22"/>
      <c r="H15" s="22"/>
      <c r="I15" s="22"/>
      <c r="J15" s="23"/>
      <c r="K15" s="22"/>
      <c r="L15" s="22"/>
      <c r="M15" s="22"/>
      <c r="N15" s="22"/>
      <c r="O15" s="22"/>
      <c r="P15" s="22"/>
      <c r="Q15" s="22"/>
      <c r="R15" s="24">
        <f t="shared" ref="R15:R31" si="1">SUM(G15:Q15)</f>
        <v>0</v>
      </c>
      <c r="S15" s="24">
        <v>1</v>
      </c>
      <c r="T15" s="22">
        <v>1</v>
      </c>
      <c r="U15" s="25">
        <f t="shared" ref="U15:U31" si="2">R15*S15*T15</f>
        <v>0</v>
      </c>
      <c r="W15" s="15"/>
    </row>
    <row r="16" spans="1:23" ht="16.5" customHeight="1" x14ac:dyDescent="0.2">
      <c r="A16" s="21">
        <f t="shared" ref="A16:A31" si="3">C15+1</f>
        <v>3</v>
      </c>
      <c r="B16" s="22"/>
      <c r="C16" s="21">
        <f t="shared" si="0"/>
        <v>3</v>
      </c>
      <c r="D16" s="21"/>
      <c r="E16" s="53"/>
      <c r="F16" s="65"/>
      <c r="G16" s="22"/>
      <c r="H16" s="22"/>
      <c r="I16" s="22"/>
      <c r="J16" s="23"/>
      <c r="K16" s="22"/>
      <c r="L16" s="22"/>
      <c r="M16" s="22"/>
      <c r="N16" s="22"/>
      <c r="O16" s="22"/>
      <c r="P16" s="22"/>
      <c r="Q16" s="22"/>
      <c r="R16" s="24">
        <f t="shared" si="1"/>
        <v>0</v>
      </c>
      <c r="S16" s="24">
        <v>1</v>
      </c>
      <c r="T16" s="22">
        <v>1</v>
      </c>
      <c r="U16" s="25">
        <f t="shared" si="2"/>
        <v>0</v>
      </c>
      <c r="W16" s="12"/>
    </row>
    <row r="17" spans="1:23" ht="16.5" customHeight="1" x14ac:dyDescent="0.2">
      <c r="A17" s="21">
        <f t="shared" si="3"/>
        <v>4</v>
      </c>
      <c r="B17" s="22"/>
      <c r="C17" s="21">
        <f t="shared" si="0"/>
        <v>4</v>
      </c>
      <c r="D17" s="21"/>
      <c r="E17" s="53"/>
      <c r="F17" s="65"/>
      <c r="G17" s="22"/>
      <c r="H17" s="22"/>
      <c r="I17" s="22"/>
      <c r="J17" s="23"/>
      <c r="K17" s="22"/>
      <c r="L17" s="22"/>
      <c r="M17" s="22"/>
      <c r="N17" s="22"/>
      <c r="O17" s="22"/>
      <c r="P17" s="22"/>
      <c r="Q17" s="22"/>
      <c r="R17" s="24">
        <f t="shared" si="1"/>
        <v>0</v>
      </c>
      <c r="S17" s="24">
        <v>1</v>
      </c>
      <c r="T17" s="22">
        <v>1</v>
      </c>
      <c r="U17" s="25">
        <f t="shared" si="2"/>
        <v>0</v>
      </c>
      <c r="W17" s="12"/>
    </row>
    <row r="18" spans="1:23" ht="16.5" customHeight="1" x14ac:dyDescent="0.2">
      <c r="A18" s="21">
        <f t="shared" si="3"/>
        <v>5</v>
      </c>
      <c r="B18" s="22"/>
      <c r="C18" s="21">
        <f t="shared" si="0"/>
        <v>5</v>
      </c>
      <c r="D18" s="21"/>
      <c r="E18" s="53"/>
      <c r="F18" s="65"/>
      <c r="G18" s="22"/>
      <c r="H18" s="22"/>
      <c r="I18" s="22"/>
      <c r="J18" s="23"/>
      <c r="K18" s="22"/>
      <c r="L18" s="22"/>
      <c r="M18" s="22"/>
      <c r="N18" s="22"/>
      <c r="O18" s="22"/>
      <c r="P18" s="22"/>
      <c r="Q18" s="22"/>
      <c r="R18" s="24">
        <f t="shared" si="1"/>
        <v>0</v>
      </c>
      <c r="S18" s="24">
        <v>1</v>
      </c>
      <c r="T18" s="22">
        <v>1</v>
      </c>
      <c r="U18" s="25">
        <f t="shared" si="2"/>
        <v>0</v>
      </c>
      <c r="W18" s="12"/>
    </row>
    <row r="19" spans="1:23" ht="16.5" customHeight="1" x14ac:dyDescent="0.2">
      <c r="A19" s="21">
        <f t="shared" si="3"/>
        <v>6</v>
      </c>
      <c r="B19" s="22"/>
      <c r="C19" s="21">
        <f t="shared" si="0"/>
        <v>6</v>
      </c>
      <c r="D19" s="21"/>
      <c r="E19" s="53"/>
      <c r="F19" s="65"/>
      <c r="G19" s="22"/>
      <c r="H19" s="22"/>
      <c r="I19" s="22"/>
      <c r="J19" s="23"/>
      <c r="K19" s="22"/>
      <c r="L19" s="22"/>
      <c r="M19" s="22"/>
      <c r="N19" s="22"/>
      <c r="O19" s="22"/>
      <c r="P19" s="22"/>
      <c r="Q19" s="22"/>
      <c r="R19" s="24">
        <f t="shared" si="1"/>
        <v>0</v>
      </c>
      <c r="S19" s="24">
        <v>1</v>
      </c>
      <c r="T19" s="22">
        <v>1</v>
      </c>
      <c r="U19" s="25">
        <f t="shared" si="2"/>
        <v>0</v>
      </c>
    </row>
    <row r="20" spans="1:23" ht="16.5" customHeight="1" x14ac:dyDescent="0.2">
      <c r="A20" s="21">
        <f t="shared" si="3"/>
        <v>7</v>
      </c>
      <c r="B20" s="22"/>
      <c r="C20" s="21">
        <f t="shared" si="0"/>
        <v>7</v>
      </c>
      <c r="D20" s="21"/>
      <c r="E20" s="53"/>
      <c r="F20" s="65"/>
      <c r="G20" s="22"/>
      <c r="H20" s="22"/>
      <c r="I20" s="22"/>
      <c r="J20" s="23"/>
      <c r="K20" s="22"/>
      <c r="L20" s="22"/>
      <c r="M20" s="22"/>
      <c r="N20" s="22"/>
      <c r="O20" s="22"/>
      <c r="P20" s="22"/>
      <c r="Q20" s="22"/>
      <c r="R20" s="24">
        <f t="shared" si="1"/>
        <v>0</v>
      </c>
      <c r="S20" s="24">
        <v>1</v>
      </c>
      <c r="T20" s="22">
        <v>1</v>
      </c>
      <c r="U20" s="25">
        <f t="shared" si="2"/>
        <v>0</v>
      </c>
    </row>
    <row r="21" spans="1:23" ht="16.5" customHeight="1" x14ac:dyDescent="0.2">
      <c r="A21" s="21">
        <f t="shared" si="3"/>
        <v>8</v>
      </c>
      <c r="B21" s="22"/>
      <c r="C21" s="21">
        <f t="shared" si="0"/>
        <v>8</v>
      </c>
      <c r="D21" s="21"/>
      <c r="E21" s="53"/>
      <c r="F21" s="65"/>
      <c r="G21" s="22"/>
      <c r="H21" s="22"/>
      <c r="I21" s="22"/>
      <c r="J21" s="23"/>
      <c r="K21" s="22"/>
      <c r="L21" s="22"/>
      <c r="M21" s="22"/>
      <c r="N21" s="22"/>
      <c r="O21" s="22"/>
      <c r="P21" s="22"/>
      <c r="Q21" s="22"/>
      <c r="R21" s="24">
        <f t="shared" si="1"/>
        <v>0</v>
      </c>
      <c r="S21" s="24">
        <v>1</v>
      </c>
      <c r="T21" s="22">
        <v>1</v>
      </c>
      <c r="U21" s="25">
        <f t="shared" si="2"/>
        <v>0</v>
      </c>
    </row>
    <row r="22" spans="1:23" ht="16.5" customHeight="1" x14ac:dyDescent="0.2">
      <c r="A22" s="21">
        <f t="shared" si="3"/>
        <v>9</v>
      </c>
      <c r="B22" s="22"/>
      <c r="C22" s="21">
        <f t="shared" si="0"/>
        <v>9</v>
      </c>
      <c r="D22" s="21"/>
      <c r="E22" s="53"/>
      <c r="F22" s="65"/>
      <c r="G22" s="22"/>
      <c r="H22" s="22"/>
      <c r="I22" s="22"/>
      <c r="J22" s="23"/>
      <c r="K22" s="22"/>
      <c r="L22" s="22"/>
      <c r="M22" s="22"/>
      <c r="N22" s="22"/>
      <c r="O22" s="22"/>
      <c r="P22" s="22"/>
      <c r="Q22" s="22"/>
      <c r="R22" s="24">
        <f t="shared" si="1"/>
        <v>0</v>
      </c>
      <c r="S22" s="24">
        <v>1</v>
      </c>
      <c r="T22" s="22">
        <v>1</v>
      </c>
      <c r="U22" s="25">
        <f t="shared" si="2"/>
        <v>0</v>
      </c>
    </row>
    <row r="23" spans="1:23" ht="16.5" customHeight="1" x14ac:dyDescent="0.2">
      <c r="A23" s="21">
        <f t="shared" si="3"/>
        <v>10</v>
      </c>
      <c r="B23" s="22"/>
      <c r="C23" s="21">
        <f t="shared" si="0"/>
        <v>10</v>
      </c>
      <c r="D23" s="21"/>
      <c r="E23" s="53"/>
      <c r="F23" s="65"/>
      <c r="G23" s="22"/>
      <c r="H23" s="22"/>
      <c r="I23" s="22"/>
      <c r="J23" s="23"/>
      <c r="K23" s="22"/>
      <c r="L23" s="22"/>
      <c r="M23" s="22"/>
      <c r="N23" s="22"/>
      <c r="O23" s="22"/>
      <c r="P23" s="22"/>
      <c r="Q23" s="22"/>
      <c r="R23" s="24">
        <f t="shared" si="1"/>
        <v>0</v>
      </c>
      <c r="S23" s="24">
        <v>1</v>
      </c>
      <c r="T23" s="22">
        <v>1</v>
      </c>
      <c r="U23" s="25">
        <f t="shared" si="2"/>
        <v>0</v>
      </c>
    </row>
    <row r="24" spans="1:23" ht="16.5" customHeight="1" x14ac:dyDescent="0.2">
      <c r="A24" s="21">
        <f t="shared" si="3"/>
        <v>11</v>
      </c>
      <c r="B24" s="22"/>
      <c r="C24" s="21">
        <f t="shared" si="0"/>
        <v>11</v>
      </c>
      <c r="D24" s="21"/>
      <c r="E24" s="53"/>
      <c r="F24" s="65"/>
      <c r="G24" s="22"/>
      <c r="H24" s="22"/>
      <c r="I24" s="22"/>
      <c r="J24" s="23"/>
      <c r="K24" s="22"/>
      <c r="L24" s="22"/>
      <c r="M24" s="22"/>
      <c r="N24" s="22"/>
      <c r="O24" s="22"/>
      <c r="P24" s="22"/>
      <c r="Q24" s="22"/>
      <c r="R24" s="24">
        <f t="shared" si="1"/>
        <v>0</v>
      </c>
      <c r="S24" s="24">
        <v>1</v>
      </c>
      <c r="T24" s="22">
        <v>1</v>
      </c>
      <c r="U24" s="25">
        <f t="shared" si="2"/>
        <v>0</v>
      </c>
    </row>
    <row r="25" spans="1:23" ht="16.5" customHeight="1" x14ac:dyDescent="0.2">
      <c r="A25" s="21">
        <f t="shared" si="3"/>
        <v>12</v>
      </c>
      <c r="B25" s="22"/>
      <c r="C25" s="21">
        <f t="shared" si="0"/>
        <v>12</v>
      </c>
      <c r="D25" s="21"/>
      <c r="E25" s="53"/>
      <c r="F25" s="65"/>
      <c r="G25" s="22"/>
      <c r="H25" s="22"/>
      <c r="I25" s="22"/>
      <c r="J25" s="23"/>
      <c r="K25" s="22"/>
      <c r="L25" s="22"/>
      <c r="M25" s="22"/>
      <c r="N25" s="22"/>
      <c r="O25" s="22"/>
      <c r="P25" s="22"/>
      <c r="Q25" s="22"/>
      <c r="R25" s="24">
        <f t="shared" si="1"/>
        <v>0</v>
      </c>
      <c r="S25" s="24">
        <v>1</v>
      </c>
      <c r="T25" s="22">
        <v>1</v>
      </c>
      <c r="U25" s="25">
        <f t="shared" si="2"/>
        <v>0</v>
      </c>
      <c r="W25" s="12"/>
    </row>
    <row r="26" spans="1:23" ht="16.5" customHeight="1" x14ac:dyDescent="0.2">
      <c r="A26" s="21">
        <f t="shared" si="3"/>
        <v>13</v>
      </c>
      <c r="B26" s="22"/>
      <c r="C26" s="21">
        <f t="shared" si="0"/>
        <v>13</v>
      </c>
      <c r="D26" s="21"/>
      <c r="E26" s="53"/>
      <c r="F26" s="65"/>
      <c r="G26" s="22"/>
      <c r="H26" s="22"/>
      <c r="I26" s="22"/>
      <c r="J26" s="23"/>
      <c r="K26" s="22"/>
      <c r="L26" s="22"/>
      <c r="M26" s="22"/>
      <c r="N26" s="22"/>
      <c r="O26" s="22"/>
      <c r="P26" s="22"/>
      <c r="Q26" s="22"/>
      <c r="R26" s="24">
        <f t="shared" si="1"/>
        <v>0</v>
      </c>
      <c r="S26" s="24">
        <v>1</v>
      </c>
      <c r="T26" s="22">
        <v>1</v>
      </c>
      <c r="U26" s="25">
        <f t="shared" si="2"/>
        <v>0</v>
      </c>
    </row>
    <row r="27" spans="1:23" ht="16.5" customHeight="1" x14ac:dyDescent="0.2">
      <c r="A27" s="21">
        <f t="shared" si="3"/>
        <v>14</v>
      </c>
      <c r="B27" s="22"/>
      <c r="C27" s="21">
        <f t="shared" si="0"/>
        <v>14</v>
      </c>
      <c r="D27" s="21"/>
      <c r="E27" s="53"/>
      <c r="F27" s="65"/>
      <c r="G27" s="22"/>
      <c r="H27" s="22"/>
      <c r="I27" s="22"/>
      <c r="J27" s="23"/>
      <c r="K27" s="22"/>
      <c r="L27" s="22"/>
      <c r="M27" s="22"/>
      <c r="N27" s="22"/>
      <c r="O27" s="22"/>
      <c r="P27" s="22"/>
      <c r="Q27" s="22"/>
      <c r="R27" s="24">
        <f t="shared" si="1"/>
        <v>0</v>
      </c>
      <c r="S27" s="24">
        <v>1</v>
      </c>
      <c r="T27" s="22">
        <v>1</v>
      </c>
      <c r="U27" s="25">
        <f t="shared" si="2"/>
        <v>0</v>
      </c>
    </row>
    <row r="28" spans="1:23" ht="16.5" customHeight="1" x14ac:dyDescent="0.2">
      <c r="A28" s="21">
        <f t="shared" si="3"/>
        <v>15</v>
      </c>
      <c r="B28" s="22"/>
      <c r="C28" s="21">
        <f t="shared" si="0"/>
        <v>15</v>
      </c>
      <c r="D28" s="21"/>
      <c r="E28" s="53"/>
      <c r="F28" s="65"/>
      <c r="G28" s="22"/>
      <c r="H28" s="22"/>
      <c r="I28" s="22"/>
      <c r="J28" s="23"/>
      <c r="K28" s="22"/>
      <c r="L28" s="22"/>
      <c r="M28" s="22"/>
      <c r="N28" s="22"/>
      <c r="O28" s="22"/>
      <c r="P28" s="22"/>
      <c r="Q28" s="22"/>
      <c r="R28" s="24">
        <f t="shared" si="1"/>
        <v>0</v>
      </c>
      <c r="S28" s="24">
        <v>1</v>
      </c>
      <c r="T28" s="22">
        <v>1</v>
      </c>
      <c r="U28" s="25">
        <f t="shared" si="2"/>
        <v>0</v>
      </c>
    </row>
    <row r="29" spans="1:23" ht="16.5" customHeight="1" x14ac:dyDescent="0.2">
      <c r="A29" s="21">
        <f t="shared" si="3"/>
        <v>16</v>
      </c>
      <c r="B29" s="22"/>
      <c r="C29" s="21">
        <f t="shared" si="0"/>
        <v>16</v>
      </c>
      <c r="D29" s="21"/>
      <c r="E29" s="53"/>
      <c r="F29" s="65"/>
      <c r="G29" s="22"/>
      <c r="H29" s="22"/>
      <c r="I29" s="22"/>
      <c r="J29" s="23"/>
      <c r="K29" s="22"/>
      <c r="L29" s="22"/>
      <c r="M29" s="22"/>
      <c r="N29" s="22"/>
      <c r="O29" s="22"/>
      <c r="P29" s="22"/>
      <c r="Q29" s="22"/>
      <c r="R29" s="24">
        <f t="shared" si="1"/>
        <v>0</v>
      </c>
      <c r="S29" s="24">
        <v>1</v>
      </c>
      <c r="T29" s="22">
        <v>1</v>
      </c>
      <c r="U29" s="25">
        <f t="shared" si="2"/>
        <v>0</v>
      </c>
    </row>
    <row r="30" spans="1:23" ht="16.5" customHeight="1" x14ac:dyDescent="0.2">
      <c r="A30" s="21">
        <f t="shared" si="3"/>
        <v>17</v>
      </c>
      <c r="B30" s="22"/>
      <c r="C30" s="21">
        <f t="shared" si="0"/>
        <v>17</v>
      </c>
      <c r="D30" s="21"/>
      <c r="E30" s="53"/>
      <c r="F30" s="65"/>
      <c r="G30" s="22"/>
      <c r="H30" s="22"/>
      <c r="I30" s="22"/>
      <c r="J30" s="23"/>
      <c r="K30" s="22"/>
      <c r="L30" s="22"/>
      <c r="M30" s="22"/>
      <c r="N30" s="22"/>
      <c r="O30" s="22"/>
      <c r="P30" s="22"/>
      <c r="Q30" s="22"/>
      <c r="R30" s="24">
        <f t="shared" si="1"/>
        <v>0</v>
      </c>
      <c r="S30" s="24">
        <v>1</v>
      </c>
      <c r="T30" s="22">
        <v>1</v>
      </c>
      <c r="U30" s="25">
        <f t="shared" si="2"/>
        <v>0</v>
      </c>
    </row>
    <row r="31" spans="1:23" ht="16.5" customHeight="1" x14ac:dyDescent="0.2">
      <c r="A31" s="21">
        <f t="shared" si="3"/>
        <v>18</v>
      </c>
      <c r="B31" s="22"/>
      <c r="C31" s="21">
        <f t="shared" si="0"/>
        <v>18</v>
      </c>
      <c r="D31" s="21"/>
      <c r="E31" s="53"/>
      <c r="F31" s="65"/>
      <c r="G31" s="22"/>
      <c r="H31" s="22"/>
      <c r="I31" s="22"/>
      <c r="J31" s="23"/>
      <c r="K31" s="22"/>
      <c r="L31" s="22"/>
      <c r="M31" s="22"/>
      <c r="N31" s="22"/>
      <c r="O31" s="22"/>
      <c r="P31" s="22"/>
      <c r="Q31" s="22"/>
      <c r="R31" s="24">
        <f t="shared" si="1"/>
        <v>0</v>
      </c>
      <c r="S31" s="24">
        <v>1</v>
      </c>
      <c r="T31" s="22">
        <v>1</v>
      </c>
      <c r="U31" s="25">
        <f t="shared" si="2"/>
        <v>0</v>
      </c>
    </row>
    <row r="32" spans="1:23" ht="15" customHeight="1" x14ac:dyDescent="0.2">
      <c r="A32" s="73"/>
      <c r="B32" s="74"/>
      <c r="C32" s="75"/>
      <c r="D32" s="26"/>
      <c r="E32" s="54"/>
      <c r="F32" s="66"/>
      <c r="G32" s="61" t="s">
        <v>9</v>
      </c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3"/>
      <c r="T32" s="22">
        <f>SUM(T14:T31)</f>
        <v>18</v>
      </c>
      <c r="U32" s="25">
        <f>SUM(U14:U31)</f>
        <v>0</v>
      </c>
    </row>
    <row r="33" spans="1:23" ht="13.5" customHeight="1" thickBot="1" x14ac:dyDescent="0.25">
      <c r="A33" s="67" t="s">
        <v>9</v>
      </c>
      <c r="B33" s="68"/>
      <c r="C33" s="69"/>
      <c r="D33" s="10"/>
      <c r="E33" s="10"/>
      <c r="F33" s="9"/>
      <c r="G33" s="8"/>
      <c r="H33" s="8"/>
      <c r="I33" s="8"/>
      <c r="J33" s="11"/>
      <c r="K33" s="8"/>
      <c r="L33" s="8"/>
      <c r="M33" s="8"/>
      <c r="N33" s="11"/>
      <c r="O33" s="11"/>
      <c r="P33" s="11"/>
      <c r="Q33" s="11"/>
      <c r="R33" s="8"/>
      <c r="S33" s="8"/>
      <c r="T33" s="39">
        <f>+T32</f>
        <v>18</v>
      </c>
      <c r="U33" s="40">
        <f>+U32</f>
        <v>0</v>
      </c>
    </row>
    <row r="34" spans="1:23" ht="13.8" thickBot="1" x14ac:dyDescent="0.25"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23" x14ac:dyDescent="0.2">
      <c r="A35" s="70" t="s">
        <v>1</v>
      </c>
      <c r="B35" s="71"/>
      <c r="C35" s="72"/>
      <c r="D35" s="19"/>
      <c r="E35" s="19" t="s">
        <v>2</v>
      </c>
      <c r="F35" s="19" t="s">
        <v>3</v>
      </c>
      <c r="G35" s="19" t="str">
        <f>G$13</f>
        <v>G13</v>
      </c>
      <c r="H35" s="19" t="str">
        <f t="shared" ref="H35:Q35" si="4">H$13</f>
        <v>H13</v>
      </c>
      <c r="I35" s="19" t="str">
        <f t="shared" si="4"/>
        <v>I13</v>
      </c>
      <c r="J35" s="19" t="str">
        <f t="shared" si="4"/>
        <v>J13</v>
      </c>
      <c r="K35" s="19" t="str">
        <f t="shared" si="4"/>
        <v>K13</v>
      </c>
      <c r="L35" s="19" t="str">
        <f t="shared" si="4"/>
        <v>L13</v>
      </c>
      <c r="M35" s="19" t="str">
        <f t="shared" si="4"/>
        <v>M13</v>
      </c>
      <c r="N35" s="19" t="str">
        <f t="shared" si="4"/>
        <v>N13</v>
      </c>
      <c r="O35" s="19" t="str">
        <f t="shared" si="4"/>
        <v>O13</v>
      </c>
      <c r="P35" s="19" t="str">
        <f t="shared" si="4"/>
        <v>P13</v>
      </c>
      <c r="Q35" s="19" t="str">
        <f t="shared" si="4"/>
        <v>Q13</v>
      </c>
      <c r="R35" s="19" t="s">
        <v>5</v>
      </c>
      <c r="S35" s="19" t="s">
        <v>6</v>
      </c>
      <c r="T35" s="19" t="s">
        <v>7</v>
      </c>
      <c r="U35" s="20" t="s">
        <v>8</v>
      </c>
    </row>
    <row r="36" spans="1:23" ht="16.5" customHeight="1" x14ac:dyDescent="0.2">
      <c r="A36" s="21">
        <v>1</v>
      </c>
      <c r="B36" s="22"/>
      <c r="C36" s="21">
        <f>A36-1+T36</f>
        <v>1</v>
      </c>
      <c r="D36" s="21"/>
      <c r="E36" s="52" t="s">
        <v>41</v>
      </c>
      <c r="F36" s="64"/>
      <c r="G36" s="22"/>
      <c r="H36" s="22"/>
      <c r="I36" s="22"/>
      <c r="J36" s="23"/>
      <c r="K36" s="22"/>
      <c r="L36" s="22"/>
      <c r="M36" s="22"/>
      <c r="N36" s="22"/>
      <c r="O36" s="22"/>
      <c r="P36" s="22"/>
      <c r="Q36" s="22"/>
      <c r="R36" s="24">
        <f t="shared" ref="R36:R53" si="5">SUM(G36:Q36)</f>
        <v>0</v>
      </c>
      <c r="S36" s="24">
        <v>1</v>
      </c>
      <c r="T36" s="22">
        <v>1</v>
      </c>
      <c r="U36" s="25">
        <f>R36*S36*T36</f>
        <v>0</v>
      </c>
    </row>
    <row r="37" spans="1:23" ht="16.5" customHeight="1" x14ac:dyDescent="0.2">
      <c r="A37" s="21">
        <f>C36+1</f>
        <v>2</v>
      </c>
      <c r="B37" s="22"/>
      <c r="C37" s="21">
        <f t="shared" ref="C37:C53" si="6">A37-1+T37</f>
        <v>2</v>
      </c>
      <c r="D37" s="21"/>
      <c r="E37" s="53"/>
      <c r="F37" s="65"/>
      <c r="G37" s="22"/>
      <c r="H37" s="22"/>
      <c r="I37" s="22"/>
      <c r="J37" s="23"/>
      <c r="K37" s="22"/>
      <c r="L37" s="22"/>
      <c r="M37" s="22"/>
      <c r="N37" s="22"/>
      <c r="O37" s="22"/>
      <c r="P37" s="22"/>
      <c r="Q37" s="22"/>
      <c r="R37" s="24">
        <f t="shared" si="5"/>
        <v>0</v>
      </c>
      <c r="S37" s="24">
        <v>1</v>
      </c>
      <c r="T37" s="22">
        <v>1</v>
      </c>
      <c r="U37" s="25">
        <f t="shared" ref="U37:U53" si="7">R37*S37*T37</f>
        <v>0</v>
      </c>
      <c r="W37" s="15"/>
    </row>
    <row r="38" spans="1:23" ht="16.5" customHeight="1" x14ac:dyDescent="0.2">
      <c r="A38" s="21">
        <f t="shared" ref="A38:A53" si="8">C37+1</f>
        <v>3</v>
      </c>
      <c r="B38" s="22"/>
      <c r="C38" s="21">
        <f t="shared" si="6"/>
        <v>3</v>
      </c>
      <c r="D38" s="21"/>
      <c r="E38" s="53"/>
      <c r="F38" s="65"/>
      <c r="G38" s="22"/>
      <c r="H38" s="22"/>
      <c r="I38" s="22"/>
      <c r="J38" s="23"/>
      <c r="K38" s="22"/>
      <c r="L38" s="22"/>
      <c r="M38" s="22"/>
      <c r="N38" s="22"/>
      <c r="O38" s="22"/>
      <c r="P38" s="22"/>
      <c r="Q38" s="22"/>
      <c r="R38" s="24">
        <f t="shared" si="5"/>
        <v>0</v>
      </c>
      <c r="S38" s="24">
        <v>1</v>
      </c>
      <c r="T38" s="22">
        <v>1</v>
      </c>
      <c r="U38" s="25">
        <f t="shared" si="7"/>
        <v>0</v>
      </c>
      <c r="W38" s="12"/>
    </row>
    <row r="39" spans="1:23" ht="16.5" customHeight="1" x14ac:dyDescent="0.2">
      <c r="A39" s="21">
        <f t="shared" si="8"/>
        <v>4</v>
      </c>
      <c r="B39" s="22"/>
      <c r="C39" s="21">
        <f t="shared" si="6"/>
        <v>4</v>
      </c>
      <c r="D39" s="21"/>
      <c r="E39" s="53"/>
      <c r="F39" s="65"/>
      <c r="G39" s="22"/>
      <c r="H39" s="22"/>
      <c r="I39" s="22"/>
      <c r="J39" s="23"/>
      <c r="K39" s="22"/>
      <c r="L39" s="22"/>
      <c r="M39" s="22"/>
      <c r="N39" s="22"/>
      <c r="O39" s="22"/>
      <c r="P39" s="22"/>
      <c r="Q39" s="22"/>
      <c r="R39" s="24">
        <f t="shared" si="5"/>
        <v>0</v>
      </c>
      <c r="S39" s="24">
        <v>1</v>
      </c>
      <c r="T39" s="22">
        <v>1</v>
      </c>
      <c r="U39" s="25">
        <f t="shared" si="7"/>
        <v>0</v>
      </c>
      <c r="W39" s="12"/>
    </row>
    <row r="40" spans="1:23" ht="16.5" customHeight="1" x14ac:dyDescent="0.2">
      <c r="A40" s="21">
        <f t="shared" si="8"/>
        <v>5</v>
      </c>
      <c r="B40" s="22"/>
      <c r="C40" s="21">
        <f t="shared" si="6"/>
        <v>5</v>
      </c>
      <c r="D40" s="21"/>
      <c r="E40" s="53"/>
      <c r="F40" s="65"/>
      <c r="G40" s="22"/>
      <c r="H40" s="22"/>
      <c r="I40" s="22"/>
      <c r="J40" s="23"/>
      <c r="K40" s="22"/>
      <c r="L40" s="22"/>
      <c r="M40" s="22"/>
      <c r="N40" s="22"/>
      <c r="O40" s="22"/>
      <c r="P40" s="22"/>
      <c r="Q40" s="22"/>
      <c r="R40" s="24">
        <f t="shared" si="5"/>
        <v>0</v>
      </c>
      <c r="S40" s="24">
        <v>1</v>
      </c>
      <c r="T40" s="22">
        <v>1</v>
      </c>
      <c r="U40" s="25">
        <f t="shared" si="7"/>
        <v>0</v>
      </c>
      <c r="W40" s="12"/>
    </row>
    <row r="41" spans="1:23" ht="16.5" customHeight="1" x14ac:dyDescent="0.2">
      <c r="A41" s="21">
        <f t="shared" si="8"/>
        <v>6</v>
      </c>
      <c r="B41" s="22"/>
      <c r="C41" s="21">
        <f t="shared" si="6"/>
        <v>6</v>
      </c>
      <c r="D41" s="21"/>
      <c r="E41" s="53"/>
      <c r="F41" s="65"/>
      <c r="G41" s="22"/>
      <c r="H41" s="22"/>
      <c r="I41" s="22"/>
      <c r="J41" s="23"/>
      <c r="K41" s="22"/>
      <c r="L41" s="22"/>
      <c r="M41" s="22"/>
      <c r="N41" s="22"/>
      <c r="O41" s="22"/>
      <c r="P41" s="22"/>
      <c r="Q41" s="22"/>
      <c r="R41" s="24">
        <f t="shared" si="5"/>
        <v>0</v>
      </c>
      <c r="S41" s="24">
        <v>1</v>
      </c>
      <c r="T41" s="22">
        <v>1</v>
      </c>
      <c r="U41" s="25">
        <f t="shared" si="7"/>
        <v>0</v>
      </c>
    </row>
    <row r="42" spans="1:23" ht="16.5" customHeight="1" x14ac:dyDescent="0.2">
      <c r="A42" s="21">
        <f t="shared" si="8"/>
        <v>7</v>
      </c>
      <c r="B42" s="22"/>
      <c r="C42" s="21">
        <f t="shared" si="6"/>
        <v>7</v>
      </c>
      <c r="D42" s="21"/>
      <c r="E42" s="53"/>
      <c r="F42" s="65"/>
      <c r="G42" s="22"/>
      <c r="H42" s="22"/>
      <c r="I42" s="22"/>
      <c r="J42" s="23"/>
      <c r="K42" s="22"/>
      <c r="L42" s="22"/>
      <c r="M42" s="22"/>
      <c r="N42" s="22"/>
      <c r="O42" s="22"/>
      <c r="P42" s="22"/>
      <c r="Q42" s="22"/>
      <c r="R42" s="24">
        <f t="shared" si="5"/>
        <v>0</v>
      </c>
      <c r="S42" s="24">
        <v>1</v>
      </c>
      <c r="T42" s="22">
        <v>1</v>
      </c>
      <c r="U42" s="25">
        <f t="shared" si="7"/>
        <v>0</v>
      </c>
    </row>
    <row r="43" spans="1:23" ht="16.5" customHeight="1" x14ac:dyDescent="0.2">
      <c r="A43" s="21">
        <f t="shared" si="8"/>
        <v>8</v>
      </c>
      <c r="B43" s="22"/>
      <c r="C43" s="21">
        <f t="shared" si="6"/>
        <v>8</v>
      </c>
      <c r="D43" s="21"/>
      <c r="E43" s="53"/>
      <c r="F43" s="65"/>
      <c r="G43" s="22"/>
      <c r="H43" s="22"/>
      <c r="I43" s="22"/>
      <c r="J43" s="23"/>
      <c r="K43" s="22"/>
      <c r="L43" s="22"/>
      <c r="M43" s="22"/>
      <c r="N43" s="22"/>
      <c r="O43" s="22"/>
      <c r="P43" s="22"/>
      <c r="Q43" s="22"/>
      <c r="R43" s="24">
        <f>SUM(G43:Q43)</f>
        <v>0</v>
      </c>
      <c r="S43" s="24">
        <v>1</v>
      </c>
      <c r="T43" s="22">
        <v>1</v>
      </c>
      <c r="U43" s="25">
        <f t="shared" si="7"/>
        <v>0</v>
      </c>
    </row>
    <row r="44" spans="1:23" ht="16.5" customHeight="1" x14ac:dyDescent="0.2">
      <c r="A44" s="21">
        <f t="shared" si="8"/>
        <v>9</v>
      </c>
      <c r="B44" s="22"/>
      <c r="C44" s="21">
        <f t="shared" si="6"/>
        <v>9</v>
      </c>
      <c r="D44" s="21"/>
      <c r="E44" s="53"/>
      <c r="F44" s="65"/>
      <c r="G44" s="22"/>
      <c r="H44" s="22"/>
      <c r="I44" s="22"/>
      <c r="J44" s="23"/>
      <c r="K44" s="22"/>
      <c r="L44" s="22"/>
      <c r="M44" s="22"/>
      <c r="N44" s="22"/>
      <c r="O44" s="22"/>
      <c r="P44" s="22"/>
      <c r="Q44" s="22"/>
      <c r="R44" s="24">
        <f t="shared" si="5"/>
        <v>0</v>
      </c>
      <c r="S44" s="24">
        <v>1</v>
      </c>
      <c r="T44" s="22">
        <v>1</v>
      </c>
      <c r="U44" s="25">
        <f t="shared" si="7"/>
        <v>0</v>
      </c>
    </row>
    <row r="45" spans="1:23" ht="16.5" customHeight="1" x14ac:dyDescent="0.2">
      <c r="A45" s="21">
        <f t="shared" si="8"/>
        <v>10</v>
      </c>
      <c r="B45" s="22"/>
      <c r="C45" s="21">
        <f t="shared" si="6"/>
        <v>10</v>
      </c>
      <c r="D45" s="21"/>
      <c r="E45" s="53"/>
      <c r="F45" s="65"/>
      <c r="G45" s="22"/>
      <c r="H45" s="22"/>
      <c r="I45" s="22"/>
      <c r="J45" s="23"/>
      <c r="K45" s="22"/>
      <c r="L45" s="22"/>
      <c r="M45" s="22"/>
      <c r="N45" s="22"/>
      <c r="O45" s="22"/>
      <c r="P45" s="22"/>
      <c r="Q45" s="22"/>
      <c r="R45" s="24">
        <f t="shared" si="5"/>
        <v>0</v>
      </c>
      <c r="S45" s="24">
        <v>1</v>
      </c>
      <c r="T45" s="22">
        <v>1</v>
      </c>
      <c r="U45" s="25">
        <f t="shared" si="7"/>
        <v>0</v>
      </c>
    </row>
    <row r="46" spans="1:23" ht="16.5" customHeight="1" x14ac:dyDescent="0.2">
      <c r="A46" s="21">
        <f t="shared" si="8"/>
        <v>11</v>
      </c>
      <c r="B46" s="22"/>
      <c r="C46" s="21">
        <f t="shared" si="6"/>
        <v>11</v>
      </c>
      <c r="D46" s="21"/>
      <c r="E46" s="53"/>
      <c r="F46" s="65"/>
      <c r="G46" s="22"/>
      <c r="H46" s="22"/>
      <c r="I46" s="22"/>
      <c r="J46" s="23"/>
      <c r="K46" s="22"/>
      <c r="L46" s="22"/>
      <c r="M46" s="22"/>
      <c r="N46" s="22"/>
      <c r="O46" s="22"/>
      <c r="P46" s="22"/>
      <c r="Q46" s="22"/>
      <c r="R46" s="24">
        <f t="shared" si="5"/>
        <v>0</v>
      </c>
      <c r="S46" s="24">
        <v>1</v>
      </c>
      <c r="T46" s="22">
        <v>1</v>
      </c>
      <c r="U46" s="25">
        <f t="shared" si="7"/>
        <v>0</v>
      </c>
    </row>
    <row r="47" spans="1:23" ht="16.5" customHeight="1" x14ac:dyDescent="0.2">
      <c r="A47" s="21">
        <f t="shared" si="8"/>
        <v>12</v>
      </c>
      <c r="B47" s="22"/>
      <c r="C47" s="21">
        <f t="shared" si="6"/>
        <v>12</v>
      </c>
      <c r="D47" s="21"/>
      <c r="E47" s="53"/>
      <c r="F47" s="65"/>
      <c r="G47" s="22"/>
      <c r="H47" s="22"/>
      <c r="I47" s="22"/>
      <c r="J47" s="23"/>
      <c r="K47" s="22"/>
      <c r="L47" s="22"/>
      <c r="M47" s="22"/>
      <c r="N47" s="22"/>
      <c r="O47" s="22"/>
      <c r="P47" s="22"/>
      <c r="Q47" s="22"/>
      <c r="R47" s="24">
        <f t="shared" si="5"/>
        <v>0</v>
      </c>
      <c r="S47" s="24">
        <v>1</v>
      </c>
      <c r="T47" s="22">
        <v>1</v>
      </c>
      <c r="U47" s="25">
        <f t="shared" si="7"/>
        <v>0</v>
      </c>
      <c r="W47" s="12"/>
    </row>
    <row r="48" spans="1:23" ht="16.5" customHeight="1" x14ac:dyDescent="0.2">
      <c r="A48" s="21">
        <f t="shared" si="8"/>
        <v>13</v>
      </c>
      <c r="B48" s="22"/>
      <c r="C48" s="21">
        <f t="shared" si="6"/>
        <v>13</v>
      </c>
      <c r="D48" s="21"/>
      <c r="E48" s="53"/>
      <c r="F48" s="65"/>
      <c r="G48" s="22"/>
      <c r="H48" s="22"/>
      <c r="I48" s="22"/>
      <c r="J48" s="23"/>
      <c r="K48" s="22"/>
      <c r="L48" s="22"/>
      <c r="M48" s="22"/>
      <c r="N48" s="22"/>
      <c r="O48" s="22"/>
      <c r="P48" s="22"/>
      <c r="Q48" s="22"/>
      <c r="R48" s="24">
        <f t="shared" si="5"/>
        <v>0</v>
      </c>
      <c r="S48" s="24">
        <v>1</v>
      </c>
      <c r="T48" s="22">
        <v>1</v>
      </c>
      <c r="U48" s="25">
        <f t="shared" si="7"/>
        <v>0</v>
      </c>
    </row>
    <row r="49" spans="1:23" ht="16.5" customHeight="1" x14ac:dyDescent="0.2">
      <c r="A49" s="21">
        <f t="shared" si="8"/>
        <v>14</v>
      </c>
      <c r="B49" s="22"/>
      <c r="C49" s="21">
        <f t="shared" si="6"/>
        <v>14</v>
      </c>
      <c r="D49" s="21"/>
      <c r="E49" s="53"/>
      <c r="F49" s="65"/>
      <c r="G49" s="22"/>
      <c r="H49" s="22"/>
      <c r="I49" s="22"/>
      <c r="J49" s="23"/>
      <c r="K49" s="22"/>
      <c r="L49" s="22"/>
      <c r="M49" s="22"/>
      <c r="N49" s="22"/>
      <c r="O49" s="22"/>
      <c r="P49" s="22"/>
      <c r="Q49" s="22"/>
      <c r="R49" s="24">
        <f t="shared" si="5"/>
        <v>0</v>
      </c>
      <c r="S49" s="24">
        <v>1</v>
      </c>
      <c r="T49" s="22">
        <v>1</v>
      </c>
      <c r="U49" s="25">
        <f t="shared" si="7"/>
        <v>0</v>
      </c>
    </row>
    <row r="50" spans="1:23" ht="16.5" customHeight="1" x14ac:dyDescent="0.2">
      <c r="A50" s="21">
        <f t="shared" si="8"/>
        <v>15</v>
      </c>
      <c r="B50" s="22"/>
      <c r="C50" s="21">
        <f t="shared" si="6"/>
        <v>15</v>
      </c>
      <c r="D50" s="21"/>
      <c r="E50" s="53"/>
      <c r="F50" s="65"/>
      <c r="G50" s="22"/>
      <c r="H50" s="22"/>
      <c r="I50" s="22"/>
      <c r="J50" s="23"/>
      <c r="K50" s="22"/>
      <c r="L50" s="22"/>
      <c r="M50" s="22"/>
      <c r="N50" s="22"/>
      <c r="O50" s="22"/>
      <c r="P50" s="22"/>
      <c r="Q50" s="22"/>
      <c r="R50" s="24">
        <f t="shared" si="5"/>
        <v>0</v>
      </c>
      <c r="S50" s="24">
        <v>1</v>
      </c>
      <c r="T50" s="22">
        <v>1</v>
      </c>
      <c r="U50" s="25">
        <f t="shared" si="7"/>
        <v>0</v>
      </c>
    </row>
    <row r="51" spans="1:23" ht="16.5" customHeight="1" x14ac:dyDescent="0.2">
      <c r="A51" s="21">
        <f t="shared" si="8"/>
        <v>16</v>
      </c>
      <c r="B51" s="22"/>
      <c r="C51" s="21">
        <f t="shared" si="6"/>
        <v>16</v>
      </c>
      <c r="D51" s="21"/>
      <c r="E51" s="53"/>
      <c r="F51" s="65"/>
      <c r="G51" s="22"/>
      <c r="H51" s="22"/>
      <c r="I51" s="22"/>
      <c r="J51" s="23"/>
      <c r="K51" s="22"/>
      <c r="L51" s="22"/>
      <c r="M51" s="22"/>
      <c r="N51" s="22"/>
      <c r="O51" s="22"/>
      <c r="P51" s="22"/>
      <c r="Q51" s="22"/>
      <c r="R51" s="24">
        <f t="shared" si="5"/>
        <v>0</v>
      </c>
      <c r="S51" s="24">
        <v>1</v>
      </c>
      <c r="T51" s="22">
        <v>1</v>
      </c>
      <c r="U51" s="25">
        <f t="shared" si="7"/>
        <v>0</v>
      </c>
    </row>
    <row r="52" spans="1:23" ht="16.5" customHeight="1" x14ac:dyDescent="0.2">
      <c r="A52" s="21">
        <f t="shared" si="8"/>
        <v>17</v>
      </c>
      <c r="B52" s="22"/>
      <c r="C52" s="21">
        <f t="shared" si="6"/>
        <v>17</v>
      </c>
      <c r="D52" s="21"/>
      <c r="E52" s="53"/>
      <c r="F52" s="65"/>
      <c r="G52" s="22"/>
      <c r="H52" s="22"/>
      <c r="I52" s="22"/>
      <c r="J52" s="23"/>
      <c r="K52" s="22"/>
      <c r="L52" s="22"/>
      <c r="M52" s="22"/>
      <c r="N52" s="22"/>
      <c r="O52" s="22"/>
      <c r="P52" s="22"/>
      <c r="Q52" s="22"/>
      <c r="R52" s="24">
        <f t="shared" si="5"/>
        <v>0</v>
      </c>
      <c r="S52" s="24">
        <v>1</v>
      </c>
      <c r="T52" s="22">
        <v>1</v>
      </c>
      <c r="U52" s="25">
        <f t="shared" si="7"/>
        <v>0</v>
      </c>
    </row>
    <row r="53" spans="1:23" ht="16.5" customHeight="1" x14ac:dyDescent="0.2">
      <c r="A53" s="21">
        <f t="shared" si="8"/>
        <v>18</v>
      </c>
      <c r="B53" s="22"/>
      <c r="C53" s="21">
        <f t="shared" si="6"/>
        <v>18</v>
      </c>
      <c r="D53" s="21"/>
      <c r="E53" s="53"/>
      <c r="F53" s="65"/>
      <c r="G53" s="22"/>
      <c r="H53" s="22"/>
      <c r="I53" s="22"/>
      <c r="J53" s="23"/>
      <c r="K53" s="22"/>
      <c r="L53" s="22"/>
      <c r="M53" s="22"/>
      <c r="N53" s="22"/>
      <c r="O53" s="22"/>
      <c r="P53" s="22"/>
      <c r="Q53" s="22"/>
      <c r="R53" s="24">
        <f t="shared" si="5"/>
        <v>0</v>
      </c>
      <c r="S53" s="24">
        <v>1</v>
      </c>
      <c r="T53" s="22">
        <v>1</v>
      </c>
      <c r="U53" s="25">
        <f t="shared" si="7"/>
        <v>0</v>
      </c>
    </row>
    <row r="54" spans="1:23" ht="15" customHeight="1" x14ac:dyDescent="0.2">
      <c r="A54" s="73"/>
      <c r="B54" s="74"/>
      <c r="C54" s="75"/>
      <c r="D54" s="26"/>
      <c r="E54" s="54"/>
      <c r="F54" s="66"/>
      <c r="G54" s="61" t="s">
        <v>9</v>
      </c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3"/>
      <c r="T54" s="22">
        <f>SUM(T36:T53)</f>
        <v>18</v>
      </c>
      <c r="U54" s="25">
        <f>SUM(U36:U53)</f>
        <v>0</v>
      </c>
    </row>
    <row r="55" spans="1:23" ht="13.5" customHeight="1" thickBot="1" x14ac:dyDescent="0.25">
      <c r="A55" s="67" t="s">
        <v>9</v>
      </c>
      <c r="B55" s="68"/>
      <c r="C55" s="69"/>
      <c r="D55" s="10"/>
      <c r="E55" s="10"/>
      <c r="F55" s="9"/>
      <c r="G55" s="8"/>
      <c r="H55" s="8"/>
      <c r="I55" s="8"/>
      <c r="J55" s="11"/>
      <c r="K55" s="8"/>
      <c r="L55" s="8"/>
      <c r="M55" s="8"/>
      <c r="N55" s="11"/>
      <c r="O55" s="11"/>
      <c r="P55" s="11"/>
      <c r="Q55" s="11"/>
      <c r="R55" s="8"/>
      <c r="S55" s="8"/>
      <c r="T55" s="39">
        <f>+T54</f>
        <v>18</v>
      </c>
      <c r="U55" s="40">
        <f>+U54</f>
        <v>0</v>
      </c>
    </row>
    <row r="56" spans="1:23" ht="13.8" thickBot="1" x14ac:dyDescent="0.25"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23" x14ac:dyDescent="0.2">
      <c r="A57" s="70" t="s">
        <v>1</v>
      </c>
      <c r="B57" s="71"/>
      <c r="C57" s="72"/>
      <c r="D57" s="19"/>
      <c r="E57" s="19" t="s">
        <v>2</v>
      </c>
      <c r="F57" s="19" t="s">
        <v>3</v>
      </c>
      <c r="G57" s="19" t="str">
        <f>G$13</f>
        <v>G13</v>
      </c>
      <c r="H57" s="19" t="str">
        <f t="shared" ref="H57:Q57" si="9">H$13</f>
        <v>H13</v>
      </c>
      <c r="I57" s="19" t="str">
        <f t="shared" si="9"/>
        <v>I13</v>
      </c>
      <c r="J57" s="19" t="str">
        <f t="shared" si="9"/>
        <v>J13</v>
      </c>
      <c r="K57" s="19" t="str">
        <f t="shared" si="9"/>
        <v>K13</v>
      </c>
      <c r="L57" s="19" t="str">
        <f t="shared" si="9"/>
        <v>L13</v>
      </c>
      <c r="M57" s="19" t="str">
        <f t="shared" si="9"/>
        <v>M13</v>
      </c>
      <c r="N57" s="19" t="str">
        <f t="shared" si="9"/>
        <v>N13</v>
      </c>
      <c r="O57" s="19" t="str">
        <f t="shared" si="9"/>
        <v>O13</v>
      </c>
      <c r="P57" s="19" t="str">
        <f t="shared" si="9"/>
        <v>P13</v>
      </c>
      <c r="Q57" s="19" t="str">
        <f t="shared" si="9"/>
        <v>Q13</v>
      </c>
      <c r="R57" s="19" t="s">
        <v>5</v>
      </c>
      <c r="S57" s="19" t="s">
        <v>6</v>
      </c>
      <c r="T57" s="19" t="s">
        <v>7</v>
      </c>
      <c r="U57" s="20" t="s">
        <v>8</v>
      </c>
    </row>
    <row r="58" spans="1:23" ht="16.5" customHeight="1" x14ac:dyDescent="0.2">
      <c r="A58" s="21">
        <v>1</v>
      </c>
      <c r="B58" s="22"/>
      <c r="C58" s="21">
        <f>A58-1+T58</f>
        <v>1</v>
      </c>
      <c r="D58" s="21"/>
      <c r="E58" s="52" t="s">
        <v>41</v>
      </c>
      <c r="F58" s="64"/>
      <c r="G58" s="22"/>
      <c r="H58" s="22"/>
      <c r="I58" s="22"/>
      <c r="J58" s="23"/>
      <c r="K58" s="22"/>
      <c r="L58" s="22"/>
      <c r="M58" s="22"/>
      <c r="N58" s="22"/>
      <c r="O58" s="22"/>
      <c r="P58" s="22"/>
      <c r="Q58" s="22"/>
      <c r="R58" s="24">
        <f>SUM(G58:Q58)</f>
        <v>0</v>
      </c>
      <c r="S58" s="24">
        <v>1</v>
      </c>
      <c r="T58" s="22">
        <v>1</v>
      </c>
      <c r="U58" s="25">
        <f>R58*S58*T58</f>
        <v>0</v>
      </c>
    </row>
    <row r="59" spans="1:23" ht="16.5" customHeight="1" x14ac:dyDescent="0.2">
      <c r="A59" s="21">
        <f>C58+1</f>
        <v>2</v>
      </c>
      <c r="B59" s="22"/>
      <c r="C59" s="21">
        <f t="shared" ref="C59:C75" si="10">A59-1+T59</f>
        <v>2</v>
      </c>
      <c r="D59" s="21"/>
      <c r="E59" s="53"/>
      <c r="F59" s="65"/>
      <c r="G59" s="22"/>
      <c r="H59" s="22"/>
      <c r="I59" s="22"/>
      <c r="J59" s="23"/>
      <c r="K59" s="22"/>
      <c r="L59" s="22"/>
      <c r="M59" s="22"/>
      <c r="N59" s="22"/>
      <c r="O59" s="22"/>
      <c r="P59" s="22"/>
      <c r="Q59" s="22"/>
      <c r="R59" s="24">
        <f t="shared" ref="R59:R75" si="11">SUM(G59:Q59)</f>
        <v>0</v>
      </c>
      <c r="S59" s="24">
        <v>1</v>
      </c>
      <c r="T59" s="22">
        <v>1</v>
      </c>
      <c r="U59" s="25">
        <f t="shared" ref="U59:U75" si="12">R59*S59*T59</f>
        <v>0</v>
      </c>
      <c r="W59" s="15"/>
    </row>
    <row r="60" spans="1:23" ht="16.5" customHeight="1" x14ac:dyDescent="0.2">
      <c r="A60" s="21">
        <f t="shared" ref="A60:A75" si="13">C59+1</f>
        <v>3</v>
      </c>
      <c r="B60" s="22"/>
      <c r="C60" s="21">
        <f t="shared" si="10"/>
        <v>3</v>
      </c>
      <c r="D60" s="21"/>
      <c r="E60" s="53"/>
      <c r="F60" s="65"/>
      <c r="G60" s="22"/>
      <c r="H60" s="22"/>
      <c r="I60" s="22"/>
      <c r="J60" s="23"/>
      <c r="K60" s="22"/>
      <c r="L60" s="22"/>
      <c r="M60" s="22"/>
      <c r="N60" s="22"/>
      <c r="O60" s="22"/>
      <c r="P60" s="22"/>
      <c r="Q60" s="22"/>
      <c r="R60" s="24">
        <f t="shared" si="11"/>
        <v>0</v>
      </c>
      <c r="S60" s="24">
        <v>1</v>
      </c>
      <c r="T60" s="22">
        <v>1</v>
      </c>
      <c r="U60" s="25">
        <f t="shared" si="12"/>
        <v>0</v>
      </c>
      <c r="W60" s="12"/>
    </row>
    <row r="61" spans="1:23" ht="16.5" customHeight="1" x14ac:dyDescent="0.2">
      <c r="A61" s="21">
        <f t="shared" si="13"/>
        <v>4</v>
      </c>
      <c r="B61" s="22"/>
      <c r="C61" s="21">
        <f t="shared" si="10"/>
        <v>4</v>
      </c>
      <c r="D61" s="21"/>
      <c r="E61" s="53"/>
      <c r="F61" s="65"/>
      <c r="G61" s="22"/>
      <c r="H61" s="22"/>
      <c r="I61" s="22"/>
      <c r="J61" s="23"/>
      <c r="K61" s="22"/>
      <c r="L61" s="22"/>
      <c r="M61" s="22"/>
      <c r="N61" s="22"/>
      <c r="O61" s="22"/>
      <c r="P61" s="22"/>
      <c r="Q61" s="22"/>
      <c r="R61" s="24">
        <f t="shared" si="11"/>
        <v>0</v>
      </c>
      <c r="S61" s="24">
        <v>1</v>
      </c>
      <c r="T61" s="22">
        <v>1</v>
      </c>
      <c r="U61" s="25">
        <f t="shared" si="12"/>
        <v>0</v>
      </c>
      <c r="W61" s="12"/>
    </row>
    <row r="62" spans="1:23" ht="16.5" customHeight="1" x14ac:dyDescent="0.2">
      <c r="A62" s="21">
        <f t="shared" si="13"/>
        <v>5</v>
      </c>
      <c r="B62" s="22"/>
      <c r="C62" s="21">
        <f t="shared" si="10"/>
        <v>5</v>
      </c>
      <c r="D62" s="21"/>
      <c r="E62" s="53"/>
      <c r="F62" s="65"/>
      <c r="G62" s="22"/>
      <c r="H62" s="22"/>
      <c r="I62" s="22"/>
      <c r="J62" s="23"/>
      <c r="K62" s="22"/>
      <c r="L62" s="22"/>
      <c r="M62" s="22"/>
      <c r="N62" s="22"/>
      <c r="O62" s="22"/>
      <c r="P62" s="22"/>
      <c r="Q62" s="22"/>
      <c r="R62" s="24">
        <f t="shared" si="11"/>
        <v>0</v>
      </c>
      <c r="S62" s="24">
        <v>1</v>
      </c>
      <c r="T62" s="22">
        <v>1</v>
      </c>
      <c r="U62" s="25">
        <f t="shared" si="12"/>
        <v>0</v>
      </c>
      <c r="W62" s="12"/>
    </row>
    <row r="63" spans="1:23" ht="16.5" customHeight="1" x14ac:dyDescent="0.2">
      <c r="A63" s="21">
        <f t="shared" si="13"/>
        <v>6</v>
      </c>
      <c r="B63" s="22"/>
      <c r="C63" s="21">
        <f t="shared" si="10"/>
        <v>6</v>
      </c>
      <c r="D63" s="21"/>
      <c r="E63" s="53"/>
      <c r="F63" s="65"/>
      <c r="G63" s="22"/>
      <c r="H63" s="22"/>
      <c r="I63" s="22"/>
      <c r="J63" s="23"/>
      <c r="K63" s="22"/>
      <c r="L63" s="22"/>
      <c r="M63" s="22"/>
      <c r="N63" s="22"/>
      <c r="O63" s="22"/>
      <c r="P63" s="22"/>
      <c r="Q63" s="22"/>
      <c r="R63" s="24">
        <f t="shared" si="11"/>
        <v>0</v>
      </c>
      <c r="S63" s="24">
        <v>1</v>
      </c>
      <c r="T63" s="22">
        <v>1</v>
      </c>
      <c r="U63" s="25">
        <f t="shared" si="12"/>
        <v>0</v>
      </c>
    </row>
    <row r="64" spans="1:23" ht="16.5" customHeight="1" x14ac:dyDescent="0.2">
      <c r="A64" s="21">
        <f t="shared" si="13"/>
        <v>7</v>
      </c>
      <c r="B64" s="22"/>
      <c r="C64" s="21">
        <f t="shared" si="10"/>
        <v>7</v>
      </c>
      <c r="D64" s="21"/>
      <c r="E64" s="53"/>
      <c r="F64" s="65"/>
      <c r="G64" s="22"/>
      <c r="H64" s="22"/>
      <c r="I64" s="22"/>
      <c r="J64" s="23"/>
      <c r="K64" s="22"/>
      <c r="L64" s="22"/>
      <c r="M64" s="22"/>
      <c r="N64" s="22"/>
      <c r="O64" s="22"/>
      <c r="P64" s="22"/>
      <c r="Q64" s="22"/>
      <c r="R64" s="24">
        <f t="shared" si="11"/>
        <v>0</v>
      </c>
      <c r="S64" s="24">
        <v>1</v>
      </c>
      <c r="T64" s="22">
        <v>1</v>
      </c>
      <c r="U64" s="25">
        <f t="shared" si="12"/>
        <v>0</v>
      </c>
    </row>
    <row r="65" spans="1:23" ht="16.5" customHeight="1" x14ac:dyDescent="0.2">
      <c r="A65" s="21">
        <f t="shared" si="13"/>
        <v>8</v>
      </c>
      <c r="B65" s="22"/>
      <c r="C65" s="21">
        <f t="shared" si="10"/>
        <v>8</v>
      </c>
      <c r="D65" s="21"/>
      <c r="E65" s="53"/>
      <c r="F65" s="65"/>
      <c r="G65" s="22"/>
      <c r="H65" s="22"/>
      <c r="I65" s="22"/>
      <c r="J65" s="23"/>
      <c r="K65" s="22"/>
      <c r="L65" s="22"/>
      <c r="M65" s="22"/>
      <c r="N65" s="22"/>
      <c r="O65" s="22"/>
      <c r="P65" s="22"/>
      <c r="Q65" s="22"/>
      <c r="R65" s="24">
        <f t="shared" si="11"/>
        <v>0</v>
      </c>
      <c r="S65" s="24">
        <v>1</v>
      </c>
      <c r="T65" s="22">
        <v>1</v>
      </c>
      <c r="U65" s="25">
        <f t="shared" si="12"/>
        <v>0</v>
      </c>
    </row>
    <row r="66" spans="1:23" ht="16.5" customHeight="1" x14ac:dyDescent="0.2">
      <c r="A66" s="21">
        <f t="shared" si="13"/>
        <v>9</v>
      </c>
      <c r="B66" s="22"/>
      <c r="C66" s="21">
        <f t="shared" si="10"/>
        <v>9</v>
      </c>
      <c r="D66" s="21"/>
      <c r="E66" s="53"/>
      <c r="F66" s="65"/>
      <c r="G66" s="22"/>
      <c r="H66" s="22"/>
      <c r="I66" s="22"/>
      <c r="J66" s="23"/>
      <c r="K66" s="22"/>
      <c r="L66" s="22"/>
      <c r="M66" s="22"/>
      <c r="N66" s="22"/>
      <c r="O66" s="22"/>
      <c r="P66" s="22"/>
      <c r="Q66" s="22"/>
      <c r="R66" s="24">
        <f t="shared" si="11"/>
        <v>0</v>
      </c>
      <c r="S66" s="24">
        <v>1</v>
      </c>
      <c r="T66" s="22">
        <v>1</v>
      </c>
      <c r="U66" s="25">
        <f t="shared" si="12"/>
        <v>0</v>
      </c>
    </row>
    <row r="67" spans="1:23" ht="16.5" customHeight="1" x14ac:dyDescent="0.2">
      <c r="A67" s="21">
        <f t="shared" si="13"/>
        <v>10</v>
      </c>
      <c r="B67" s="22"/>
      <c r="C67" s="21">
        <f t="shared" si="10"/>
        <v>10</v>
      </c>
      <c r="D67" s="21"/>
      <c r="E67" s="53"/>
      <c r="F67" s="65"/>
      <c r="G67" s="22"/>
      <c r="H67" s="22"/>
      <c r="I67" s="22"/>
      <c r="J67" s="23"/>
      <c r="K67" s="22"/>
      <c r="L67" s="22"/>
      <c r="M67" s="22"/>
      <c r="N67" s="22"/>
      <c r="O67" s="22"/>
      <c r="P67" s="22"/>
      <c r="Q67" s="22"/>
      <c r="R67" s="24">
        <f t="shared" si="11"/>
        <v>0</v>
      </c>
      <c r="S67" s="24">
        <v>1</v>
      </c>
      <c r="T67" s="22">
        <v>1</v>
      </c>
      <c r="U67" s="25">
        <f t="shared" si="12"/>
        <v>0</v>
      </c>
    </row>
    <row r="68" spans="1:23" ht="16.5" customHeight="1" x14ac:dyDescent="0.2">
      <c r="A68" s="21">
        <f t="shared" si="13"/>
        <v>11</v>
      </c>
      <c r="B68" s="22"/>
      <c r="C68" s="21">
        <f t="shared" si="10"/>
        <v>11</v>
      </c>
      <c r="D68" s="21"/>
      <c r="E68" s="53"/>
      <c r="F68" s="65"/>
      <c r="G68" s="22"/>
      <c r="H68" s="22"/>
      <c r="I68" s="22"/>
      <c r="J68" s="23"/>
      <c r="K68" s="22"/>
      <c r="L68" s="22"/>
      <c r="M68" s="22"/>
      <c r="N68" s="22"/>
      <c r="O68" s="22"/>
      <c r="P68" s="22"/>
      <c r="Q68" s="22"/>
      <c r="R68" s="24">
        <f t="shared" si="11"/>
        <v>0</v>
      </c>
      <c r="S68" s="24">
        <v>1</v>
      </c>
      <c r="T68" s="22">
        <v>1</v>
      </c>
      <c r="U68" s="25">
        <f t="shared" si="12"/>
        <v>0</v>
      </c>
    </row>
    <row r="69" spans="1:23" ht="16.5" customHeight="1" x14ac:dyDescent="0.2">
      <c r="A69" s="21">
        <f t="shared" si="13"/>
        <v>12</v>
      </c>
      <c r="B69" s="22"/>
      <c r="C69" s="21">
        <f t="shared" si="10"/>
        <v>12</v>
      </c>
      <c r="D69" s="21"/>
      <c r="E69" s="53"/>
      <c r="F69" s="65"/>
      <c r="G69" s="22"/>
      <c r="H69" s="22"/>
      <c r="I69" s="22"/>
      <c r="J69" s="23"/>
      <c r="K69" s="22"/>
      <c r="L69" s="22"/>
      <c r="M69" s="22"/>
      <c r="N69" s="22"/>
      <c r="O69" s="22"/>
      <c r="P69" s="22"/>
      <c r="Q69" s="22"/>
      <c r="R69" s="24">
        <f t="shared" si="11"/>
        <v>0</v>
      </c>
      <c r="S69" s="24">
        <v>1</v>
      </c>
      <c r="T69" s="22">
        <v>1</v>
      </c>
      <c r="U69" s="25">
        <f t="shared" si="12"/>
        <v>0</v>
      </c>
      <c r="W69" s="12"/>
    </row>
    <row r="70" spans="1:23" ht="16.5" customHeight="1" x14ac:dyDescent="0.2">
      <c r="A70" s="21">
        <f t="shared" si="13"/>
        <v>13</v>
      </c>
      <c r="B70" s="22"/>
      <c r="C70" s="21">
        <f t="shared" si="10"/>
        <v>13</v>
      </c>
      <c r="D70" s="21"/>
      <c r="E70" s="53"/>
      <c r="F70" s="65"/>
      <c r="G70" s="22"/>
      <c r="H70" s="22"/>
      <c r="I70" s="22"/>
      <c r="J70" s="23"/>
      <c r="K70" s="22"/>
      <c r="L70" s="22"/>
      <c r="M70" s="22"/>
      <c r="N70" s="22"/>
      <c r="O70" s="22"/>
      <c r="P70" s="22"/>
      <c r="Q70" s="22"/>
      <c r="R70" s="24">
        <f t="shared" si="11"/>
        <v>0</v>
      </c>
      <c r="S70" s="24">
        <v>1</v>
      </c>
      <c r="T70" s="22">
        <v>1</v>
      </c>
      <c r="U70" s="25">
        <f t="shared" si="12"/>
        <v>0</v>
      </c>
    </row>
    <row r="71" spans="1:23" ht="16.5" customHeight="1" x14ac:dyDescent="0.2">
      <c r="A71" s="21">
        <f t="shared" si="13"/>
        <v>14</v>
      </c>
      <c r="B71" s="22"/>
      <c r="C71" s="21">
        <f t="shared" si="10"/>
        <v>14</v>
      </c>
      <c r="D71" s="21"/>
      <c r="E71" s="53"/>
      <c r="F71" s="65"/>
      <c r="G71" s="22"/>
      <c r="H71" s="22"/>
      <c r="I71" s="22"/>
      <c r="J71" s="23"/>
      <c r="K71" s="22"/>
      <c r="L71" s="22"/>
      <c r="M71" s="22"/>
      <c r="N71" s="22"/>
      <c r="O71" s="22"/>
      <c r="P71" s="22"/>
      <c r="Q71" s="22"/>
      <c r="R71" s="24">
        <f t="shared" si="11"/>
        <v>0</v>
      </c>
      <c r="S71" s="24">
        <v>1</v>
      </c>
      <c r="T71" s="22">
        <v>1</v>
      </c>
      <c r="U71" s="25">
        <f t="shared" si="12"/>
        <v>0</v>
      </c>
    </row>
    <row r="72" spans="1:23" ht="16.5" customHeight="1" x14ac:dyDescent="0.2">
      <c r="A72" s="21">
        <f t="shared" si="13"/>
        <v>15</v>
      </c>
      <c r="B72" s="22"/>
      <c r="C72" s="21">
        <f t="shared" si="10"/>
        <v>15</v>
      </c>
      <c r="D72" s="21"/>
      <c r="E72" s="53"/>
      <c r="F72" s="65"/>
      <c r="G72" s="22"/>
      <c r="H72" s="22"/>
      <c r="I72" s="22"/>
      <c r="J72" s="23"/>
      <c r="K72" s="22"/>
      <c r="L72" s="22"/>
      <c r="M72" s="22"/>
      <c r="N72" s="22"/>
      <c r="O72" s="22"/>
      <c r="P72" s="22"/>
      <c r="Q72" s="22"/>
      <c r="R72" s="24">
        <f t="shared" si="11"/>
        <v>0</v>
      </c>
      <c r="S72" s="24">
        <v>1</v>
      </c>
      <c r="T72" s="22">
        <v>1</v>
      </c>
      <c r="U72" s="25">
        <f t="shared" si="12"/>
        <v>0</v>
      </c>
    </row>
    <row r="73" spans="1:23" ht="16.5" customHeight="1" x14ac:dyDescent="0.2">
      <c r="A73" s="21">
        <f t="shared" si="13"/>
        <v>16</v>
      </c>
      <c r="B73" s="22"/>
      <c r="C73" s="21">
        <f t="shared" si="10"/>
        <v>16</v>
      </c>
      <c r="D73" s="21"/>
      <c r="E73" s="53"/>
      <c r="F73" s="65"/>
      <c r="G73" s="22"/>
      <c r="H73" s="22"/>
      <c r="I73" s="22"/>
      <c r="J73" s="23"/>
      <c r="K73" s="22"/>
      <c r="L73" s="22"/>
      <c r="M73" s="22"/>
      <c r="N73" s="22"/>
      <c r="O73" s="22"/>
      <c r="P73" s="22"/>
      <c r="Q73" s="22"/>
      <c r="R73" s="24">
        <f t="shared" si="11"/>
        <v>0</v>
      </c>
      <c r="S73" s="24">
        <v>1</v>
      </c>
      <c r="T73" s="22">
        <v>1</v>
      </c>
      <c r="U73" s="25">
        <f t="shared" si="12"/>
        <v>0</v>
      </c>
    </row>
    <row r="74" spans="1:23" ht="16.5" customHeight="1" x14ac:dyDescent="0.2">
      <c r="A74" s="21">
        <f t="shared" si="13"/>
        <v>17</v>
      </c>
      <c r="B74" s="22"/>
      <c r="C74" s="21">
        <f t="shared" si="10"/>
        <v>17</v>
      </c>
      <c r="D74" s="21"/>
      <c r="E74" s="53"/>
      <c r="F74" s="65"/>
      <c r="G74" s="22"/>
      <c r="H74" s="22"/>
      <c r="I74" s="22"/>
      <c r="J74" s="23"/>
      <c r="K74" s="22"/>
      <c r="L74" s="22"/>
      <c r="M74" s="22"/>
      <c r="N74" s="22"/>
      <c r="O74" s="22"/>
      <c r="P74" s="22"/>
      <c r="Q74" s="22"/>
      <c r="R74" s="24">
        <f t="shared" si="11"/>
        <v>0</v>
      </c>
      <c r="S74" s="24">
        <v>1</v>
      </c>
      <c r="T74" s="22">
        <v>1</v>
      </c>
      <c r="U74" s="25">
        <f t="shared" si="12"/>
        <v>0</v>
      </c>
    </row>
    <row r="75" spans="1:23" ht="16.5" customHeight="1" x14ac:dyDescent="0.2">
      <c r="A75" s="21">
        <f t="shared" si="13"/>
        <v>18</v>
      </c>
      <c r="B75" s="22"/>
      <c r="C75" s="21">
        <f t="shared" si="10"/>
        <v>18</v>
      </c>
      <c r="D75" s="21"/>
      <c r="E75" s="53"/>
      <c r="F75" s="65"/>
      <c r="G75" s="22"/>
      <c r="H75" s="22"/>
      <c r="I75" s="22"/>
      <c r="J75" s="23"/>
      <c r="K75" s="22"/>
      <c r="L75" s="22"/>
      <c r="M75" s="22"/>
      <c r="N75" s="22"/>
      <c r="O75" s="22"/>
      <c r="P75" s="22"/>
      <c r="Q75" s="22"/>
      <c r="R75" s="24">
        <f t="shared" si="11"/>
        <v>0</v>
      </c>
      <c r="S75" s="24">
        <v>1</v>
      </c>
      <c r="T75" s="22">
        <v>1</v>
      </c>
      <c r="U75" s="25">
        <f t="shared" si="12"/>
        <v>0</v>
      </c>
    </row>
    <row r="76" spans="1:23" ht="15" customHeight="1" x14ac:dyDescent="0.2">
      <c r="A76" s="73"/>
      <c r="B76" s="74"/>
      <c r="C76" s="75"/>
      <c r="D76" s="26"/>
      <c r="E76" s="54"/>
      <c r="F76" s="66"/>
      <c r="G76" s="61" t="s">
        <v>9</v>
      </c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3"/>
      <c r="T76" s="22">
        <f>SUM(T58:T75)</f>
        <v>18</v>
      </c>
      <c r="U76" s="25">
        <f>SUM(U58:U75)</f>
        <v>0</v>
      </c>
    </row>
    <row r="77" spans="1:23" ht="13.5" customHeight="1" thickBot="1" x14ac:dyDescent="0.25">
      <c r="A77" s="67" t="s">
        <v>9</v>
      </c>
      <c r="B77" s="68"/>
      <c r="C77" s="69"/>
      <c r="D77" s="10"/>
      <c r="E77" s="10"/>
      <c r="F77" s="9"/>
      <c r="G77" s="8"/>
      <c r="H77" s="8"/>
      <c r="I77" s="8"/>
      <c r="J77" s="11"/>
      <c r="K77" s="8"/>
      <c r="L77" s="8"/>
      <c r="M77" s="8"/>
      <c r="N77" s="11"/>
      <c r="O77" s="11"/>
      <c r="P77" s="11"/>
      <c r="Q77" s="11"/>
      <c r="R77" s="8"/>
      <c r="S77" s="8"/>
      <c r="T77" s="39">
        <f>+T76</f>
        <v>18</v>
      </c>
      <c r="U77" s="40">
        <f>+U76</f>
        <v>0</v>
      </c>
    </row>
    <row r="78" spans="1:23" ht="13.8" thickBot="1" x14ac:dyDescent="0.25"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23" x14ac:dyDescent="0.2">
      <c r="A79" s="70" t="s">
        <v>1</v>
      </c>
      <c r="B79" s="71"/>
      <c r="C79" s="72"/>
      <c r="D79" s="19"/>
      <c r="E79" s="19" t="s">
        <v>2</v>
      </c>
      <c r="F79" s="19" t="s">
        <v>3</v>
      </c>
      <c r="G79" s="19" t="str">
        <f>G$13</f>
        <v>G13</v>
      </c>
      <c r="H79" s="19" t="str">
        <f t="shared" ref="H79:Q79" si="14">H$13</f>
        <v>H13</v>
      </c>
      <c r="I79" s="19" t="str">
        <f t="shared" si="14"/>
        <v>I13</v>
      </c>
      <c r="J79" s="19" t="str">
        <f t="shared" si="14"/>
        <v>J13</v>
      </c>
      <c r="K79" s="19" t="str">
        <f t="shared" si="14"/>
        <v>K13</v>
      </c>
      <c r="L79" s="19" t="str">
        <f t="shared" si="14"/>
        <v>L13</v>
      </c>
      <c r="M79" s="19" t="str">
        <f t="shared" si="14"/>
        <v>M13</v>
      </c>
      <c r="N79" s="19" t="str">
        <f t="shared" si="14"/>
        <v>N13</v>
      </c>
      <c r="O79" s="19" t="str">
        <f t="shared" si="14"/>
        <v>O13</v>
      </c>
      <c r="P79" s="19" t="str">
        <f t="shared" si="14"/>
        <v>P13</v>
      </c>
      <c r="Q79" s="19" t="str">
        <f t="shared" si="14"/>
        <v>Q13</v>
      </c>
      <c r="R79" s="19" t="s">
        <v>5</v>
      </c>
      <c r="S79" s="19" t="s">
        <v>6</v>
      </c>
      <c r="T79" s="19" t="s">
        <v>7</v>
      </c>
      <c r="U79" s="20" t="s">
        <v>8</v>
      </c>
    </row>
    <row r="80" spans="1:23" ht="16.5" customHeight="1" x14ac:dyDescent="0.2">
      <c r="A80" s="21">
        <v>1</v>
      </c>
      <c r="B80" s="22"/>
      <c r="C80" s="21">
        <f>A80-1+T80</f>
        <v>1</v>
      </c>
      <c r="D80" s="21"/>
      <c r="E80" s="52" t="s">
        <v>41</v>
      </c>
      <c r="F80" s="64"/>
      <c r="G80" s="22"/>
      <c r="H80" s="22"/>
      <c r="I80" s="22"/>
      <c r="J80" s="23"/>
      <c r="K80" s="22"/>
      <c r="L80" s="22"/>
      <c r="M80" s="22"/>
      <c r="N80" s="22"/>
      <c r="O80" s="22"/>
      <c r="P80" s="22"/>
      <c r="Q80" s="22"/>
      <c r="R80" s="24">
        <f t="shared" ref="R80:R97" si="15">SUM(G80:Q80)</f>
        <v>0</v>
      </c>
      <c r="S80" s="24">
        <v>1</v>
      </c>
      <c r="T80" s="22">
        <v>1</v>
      </c>
      <c r="U80" s="25">
        <f>R80*S80*T80</f>
        <v>0</v>
      </c>
    </row>
    <row r="81" spans="1:23" ht="16.5" customHeight="1" x14ac:dyDescent="0.2">
      <c r="A81" s="21">
        <f>C80+1</f>
        <v>2</v>
      </c>
      <c r="B81" s="22"/>
      <c r="C81" s="21">
        <f t="shared" ref="C81:C97" si="16">A81-1+T81</f>
        <v>2</v>
      </c>
      <c r="D81" s="21"/>
      <c r="E81" s="53"/>
      <c r="F81" s="65"/>
      <c r="G81" s="22"/>
      <c r="H81" s="22"/>
      <c r="I81" s="22"/>
      <c r="J81" s="23"/>
      <c r="K81" s="22"/>
      <c r="L81" s="22"/>
      <c r="M81" s="22"/>
      <c r="N81" s="22"/>
      <c r="O81" s="22"/>
      <c r="P81" s="22"/>
      <c r="Q81" s="22"/>
      <c r="R81" s="24">
        <f t="shared" si="15"/>
        <v>0</v>
      </c>
      <c r="S81" s="24">
        <v>1</v>
      </c>
      <c r="T81" s="22">
        <v>1</v>
      </c>
      <c r="U81" s="25">
        <f t="shared" ref="U81:U97" si="17">R81*S81*T81</f>
        <v>0</v>
      </c>
      <c r="W81" s="15"/>
    </row>
    <row r="82" spans="1:23" ht="16.5" customHeight="1" x14ac:dyDescent="0.2">
      <c r="A82" s="21">
        <f t="shared" ref="A82:A97" si="18">C81+1</f>
        <v>3</v>
      </c>
      <c r="B82" s="22"/>
      <c r="C82" s="21">
        <f t="shared" si="16"/>
        <v>3</v>
      </c>
      <c r="D82" s="21"/>
      <c r="E82" s="53"/>
      <c r="F82" s="65"/>
      <c r="G82" s="22"/>
      <c r="H82" s="22"/>
      <c r="I82" s="22"/>
      <c r="J82" s="23"/>
      <c r="K82" s="22"/>
      <c r="L82" s="22"/>
      <c r="M82" s="22"/>
      <c r="N82" s="22"/>
      <c r="O82" s="22"/>
      <c r="P82" s="22"/>
      <c r="Q82" s="22"/>
      <c r="R82" s="24">
        <f t="shared" si="15"/>
        <v>0</v>
      </c>
      <c r="S82" s="24">
        <v>1</v>
      </c>
      <c r="T82" s="22">
        <v>1</v>
      </c>
      <c r="U82" s="25">
        <f t="shared" si="17"/>
        <v>0</v>
      </c>
      <c r="W82" s="12"/>
    </row>
    <row r="83" spans="1:23" ht="16.5" customHeight="1" x14ac:dyDescent="0.2">
      <c r="A83" s="21">
        <f t="shared" si="18"/>
        <v>4</v>
      </c>
      <c r="B83" s="22"/>
      <c r="C83" s="21">
        <f t="shared" si="16"/>
        <v>4</v>
      </c>
      <c r="D83" s="21"/>
      <c r="E83" s="53"/>
      <c r="F83" s="65"/>
      <c r="G83" s="22"/>
      <c r="H83" s="22"/>
      <c r="I83" s="22"/>
      <c r="J83" s="23"/>
      <c r="K83" s="22"/>
      <c r="L83" s="22"/>
      <c r="M83" s="22"/>
      <c r="N83" s="22"/>
      <c r="O83" s="22"/>
      <c r="P83" s="22"/>
      <c r="Q83" s="22"/>
      <c r="R83" s="24">
        <f t="shared" si="15"/>
        <v>0</v>
      </c>
      <c r="S83" s="24">
        <v>1</v>
      </c>
      <c r="T83" s="22">
        <v>1</v>
      </c>
      <c r="U83" s="25">
        <f t="shared" si="17"/>
        <v>0</v>
      </c>
      <c r="W83" s="12"/>
    </row>
    <row r="84" spans="1:23" ht="16.5" customHeight="1" x14ac:dyDescent="0.2">
      <c r="A84" s="21">
        <f t="shared" si="18"/>
        <v>5</v>
      </c>
      <c r="B84" s="22"/>
      <c r="C84" s="21">
        <f t="shared" si="16"/>
        <v>5</v>
      </c>
      <c r="D84" s="21"/>
      <c r="E84" s="53"/>
      <c r="F84" s="65"/>
      <c r="G84" s="22"/>
      <c r="H84" s="22"/>
      <c r="I84" s="22"/>
      <c r="J84" s="23"/>
      <c r="K84" s="22"/>
      <c r="L84" s="22"/>
      <c r="M84" s="22"/>
      <c r="N84" s="22"/>
      <c r="O84" s="22"/>
      <c r="P84" s="22"/>
      <c r="Q84" s="22"/>
      <c r="R84" s="24">
        <f t="shared" si="15"/>
        <v>0</v>
      </c>
      <c r="S84" s="24">
        <v>1</v>
      </c>
      <c r="T84" s="22">
        <v>1</v>
      </c>
      <c r="U84" s="25">
        <f t="shared" si="17"/>
        <v>0</v>
      </c>
      <c r="W84" s="12"/>
    </row>
    <row r="85" spans="1:23" ht="16.5" customHeight="1" x14ac:dyDescent="0.2">
      <c r="A85" s="21">
        <f t="shared" si="18"/>
        <v>6</v>
      </c>
      <c r="B85" s="22"/>
      <c r="C85" s="21">
        <f t="shared" si="16"/>
        <v>6</v>
      </c>
      <c r="D85" s="21"/>
      <c r="E85" s="53"/>
      <c r="F85" s="65"/>
      <c r="G85" s="22"/>
      <c r="H85" s="22"/>
      <c r="I85" s="22"/>
      <c r="J85" s="23"/>
      <c r="K85" s="22"/>
      <c r="L85" s="22"/>
      <c r="M85" s="22"/>
      <c r="N85" s="22"/>
      <c r="O85" s="22"/>
      <c r="P85" s="22"/>
      <c r="Q85" s="22"/>
      <c r="R85" s="24">
        <f t="shared" si="15"/>
        <v>0</v>
      </c>
      <c r="S85" s="24">
        <v>1</v>
      </c>
      <c r="T85" s="22">
        <v>1</v>
      </c>
      <c r="U85" s="25">
        <f t="shared" si="17"/>
        <v>0</v>
      </c>
    </row>
    <row r="86" spans="1:23" ht="16.5" customHeight="1" x14ac:dyDescent="0.2">
      <c r="A86" s="21">
        <f t="shared" si="18"/>
        <v>7</v>
      </c>
      <c r="B86" s="22"/>
      <c r="C86" s="21">
        <f t="shared" si="16"/>
        <v>7</v>
      </c>
      <c r="D86" s="21"/>
      <c r="E86" s="53"/>
      <c r="F86" s="65"/>
      <c r="G86" s="22"/>
      <c r="H86" s="22"/>
      <c r="I86" s="22"/>
      <c r="J86" s="23"/>
      <c r="K86" s="22"/>
      <c r="L86" s="22"/>
      <c r="M86" s="22"/>
      <c r="N86" s="22"/>
      <c r="O86" s="22"/>
      <c r="P86" s="22"/>
      <c r="Q86" s="22"/>
      <c r="R86" s="24">
        <f t="shared" si="15"/>
        <v>0</v>
      </c>
      <c r="S86" s="24">
        <v>1</v>
      </c>
      <c r="T86" s="22">
        <v>1</v>
      </c>
      <c r="U86" s="25">
        <f t="shared" si="17"/>
        <v>0</v>
      </c>
    </row>
    <row r="87" spans="1:23" ht="16.5" customHeight="1" x14ac:dyDescent="0.2">
      <c r="A87" s="21">
        <f t="shared" si="18"/>
        <v>8</v>
      </c>
      <c r="B87" s="22"/>
      <c r="C87" s="21">
        <f t="shared" si="16"/>
        <v>8</v>
      </c>
      <c r="D87" s="21"/>
      <c r="E87" s="53"/>
      <c r="F87" s="65"/>
      <c r="G87" s="22"/>
      <c r="H87" s="22"/>
      <c r="I87" s="22"/>
      <c r="J87" s="23"/>
      <c r="K87" s="22"/>
      <c r="L87" s="22"/>
      <c r="M87" s="22"/>
      <c r="N87" s="22"/>
      <c r="O87" s="22"/>
      <c r="P87" s="22"/>
      <c r="Q87" s="22"/>
      <c r="R87" s="24">
        <f t="shared" si="15"/>
        <v>0</v>
      </c>
      <c r="S87" s="24">
        <v>1</v>
      </c>
      <c r="T87" s="22">
        <v>1</v>
      </c>
      <c r="U87" s="25">
        <f t="shared" si="17"/>
        <v>0</v>
      </c>
    </row>
    <row r="88" spans="1:23" ht="16.5" customHeight="1" x14ac:dyDescent="0.2">
      <c r="A88" s="21">
        <f t="shared" si="18"/>
        <v>9</v>
      </c>
      <c r="B88" s="22"/>
      <c r="C88" s="21">
        <f t="shared" si="16"/>
        <v>9</v>
      </c>
      <c r="D88" s="21"/>
      <c r="E88" s="53"/>
      <c r="F88" s="65"/>
      <c r="G88" s="22"/>
      <c r="H88" s="22"/>
      <c r="I88" s="22"/>
      <c r="J88" s="23"/>
      <c r="K88" s="22"/>
      <c r="L88" s="22"/>
      <c r="M88" s="22"/>
      <c r="N88" s="22"/>
      <c r="O88" s="22"/>
      <c r="P88" s="22"/>
      <c r="Q88" s="22"/>
      <c r="R88" s="24">
        <f t="shared" si="15"/>
        <v>0</v>
      </c>
      <c r="S88" s="24">
        <v>1</v>
      </c>
      <c r="T88" s="22">
        <v>1</v>
      </c>
      <c r="U88" s="25">
        <f t="shared" si="17"/>
        <v>0</v>
      </c>
    </row>
    <row r="89" spans="1:23" ht="16.5" customHeight="1" x14ac:dyDescent="0.2">
      <c r="A89" s="21">
        <f t="shared" si="18"/>
        <v>10</v>
      </c>
      <c r="B89" s="22"/>
      <c r="C89" s="21">
        <f t="shared" si="16"/>
        <v>10</v>
      </c>
      <c r="D89" s="21"/>
      <c r="E89" s="53"/>
      <c r="F89" s="65"/>
      <c r="G89" s="22"/>
      <c r="H89" s="22"/>
      <c r="I89" s="22"/>
      <c r="J89" s="23"/>
      <c r="K89" s="22"/>
      <c r="L89" s="22"/>
      <c r="M89" s="22"/>
      <c r="N89" s="22"/>
      <c r="O89" s="22"/>
      <c r="P89" s="22"/>
      <c r="Q89" s="22"/>
      <c r="R89" s="24">
        <f t="shared" si="15"/>
        <v>0</v>
      </c>
      <c r="S89" s="24">
        <v>1</v>
      </c>
      <c r="T89" s="22">
        <v>1</v>
      </c>
      <c r="U89" s="25">
        <f t="shared" si="17"/>
        <v>0</v>
      </c>
    </row>
    <row r="90" spans="1:23" ht="16.5" customHeight="1" x14ac:dyDescent="0.2">
      <c r="A90" s="21">
        <f t="shared" si="18"/>
        <v>11</v>
      </c>
      <c r="B90" s="22"/>
      <c r="C90" s="21">
        <f t="shared" si="16"/>
        <v>11</v>
      </c>
      <c r="D90" s="21"/>
      <c r="E90" s="53"/>
      <c r="F90" s="65"/>
      <c r="G90" s="22"/>
      <c r="H90" s="22"/>
      <c r="I90" s="22"/>
      <c r="J90" s="23"/>
      <c r="K90" s="22"/>
      <c r="L90" s="22"/>
      <c r="M90" s="22"/>
      <c r="N90" s="22"/>
      <c r="O90" s="22"/>
      <c r="P90" s="22"/>
      <c r="Q90" s="22"/>
      <c r="R90" s="24">
        <f t="shared" si="15"/>
        <v>0</v>
      </c>
      <c r="S90" s="24">
        <v>1</v>
      </c>
      <c r="T90" s="22">
        <v>1</v>
      </c>
      <c r="U90" s="25">
        <f t="shared" si="17"/>
        <v>0</v>
      </c>
    </row>
    <row r="91" spans="1:23" ht="16.5" customHeight="1" x14ac:dyDescent="0.2">
      <c r="A91" s="21">
        <f t="shared" si="18"/>
        <v>12</v>
      </c>
      <c r="B91" s="22"/>
      <c r="C91" s="21">
        <f t="shared" si="16"/>
        <v>12</v>
      </c>
      <c r="D91" s="21"/>
      <c r="E91" s="53"/>
      <c r="F91" s="65"/>
      <c r="G91" s="22"/>
      <c r="H91" s="22"/>
      <c r="I91" s="22"/>
      <c r="J91" s="23"/>
      <c r="K91" s="22"/>
      <c r="L91" s="22"/>
      <c r="M91" s="22"/>
      <c r="N91" s="22"/>
      <c r="O91" s="22"/>
      <c r="P91" s="22"/>
      <c r="Q91" s="22"/>
      <c r="R91" s="24">
        <f t="shared" si="15"/>
        <v>0</v>
      </c>
      <c r="S91" s="24">
        <v>1</v>
      </c>
      <c r="T91" s="22">
        <v>1</v>
      </c>
      <c r="U91" s="25">
        <f t="shared" si="17"/>
        <v>0</v>
      </c>
      <c r="W91" s="12"/>
    </row>
    <row r="92" spans="1:23" ht="16.5" customHeight="1" x14ac:dyDescent="0.2">
      <c r="A92" s="21">
        <f t="shared" si="18"/>
        <v>13</v>
      </c>
      <c r="B92" s="22"/>
      <c r="C92" s="21">
        <f t="shared" si="16"/>
        <v>13</v>
      </c>
      <c r="D92" s="21"/>
      <c r="E92" s="53"/>
      <c r="F92" s="65"/>
      <c r="G92" s="22"/>
      <c r="H92" s="22"/>
      <c r="I92" s="22"/>
      <c r="J92" s="23"/>
      <c r="K92" s="22"/>
      <c r="L92" s="22"/>
      <c r="M92" s="22"/>
      <c r="N92" s="22"/>
      <c r="O92" s="22"/>
      <c r="P92" s="22"/>
      <c r="Q92" s="22"/>
      <c r="R92" s="24">
        <f t="shared" si="15"/>
        <v>0</v>
      </c>
      <c r="S92" s="24">
        <v>1</v>
      </c>
      <c r="T92" s="22">
        <v>1</v>
      </c>
      <c r="U92" s="25">
        <f t="shared" si="17"/>
        <v>0</v>
      </c>
    </row>
    <row r="93" spans="1:23" ht="16.5" customHeight="1" x14ac:dyDescent="0.2">
      <c r="A93" s="21">
        <f t="shared" si="18"/>
        <v>14</v>
      </c>
      <c r="B93" s="22"/>
      <c r="C93" s="21">
        <f t="shared" si="16"/>
        <v>14</v>
      </c>
      <c r="D93" s="21"/>
      <c r="E93" s="53"/>
      <c r="F93" s="65"/>
      <c r="G93" s="22"/>
      <c r="H93" s="22"/>
      <c r="I93" s="22"/>
      <c r="J93" s="23"/>
      <c r="K93" s="22"/>
      <c r="L93" s="22"/>
      <c r="M93" s="22"/>
      <c r="N93" s="22"/>
      <c r="O93" s="22"/>
      <c r="P93" s="22"/>
      <c r="Q93" s="22"/>
      <c r="R93" s="24">
        <f t="shared" si="15"/>
        <v>0</v>
      </c>
      <c r="S93" s="24">
        <v>1</v>
      </c>
      <c r="T93" s="22">
        <v>1</v>
      </c>
      <c r="U93" s="25">
        <f t="shared" si="17"/>
        <v>0</v>
      </c>
    </row>
    <row r="94" spans="1:23" ht="16.5" customHeight="1" x14ac:dyDescent="0.2">
      <c r="A94" s="21">
        <f t="shared" si="18"/>
        <v>15</v>
      </c>
      <c r="B94" s="22"/>
      <c r="C94" s="21">
        <f t="shared" si="16"/>
        <v>15</v>
      </c>
      <c r="D94" s="21"/>
      <c r="E94" s="53"/>
      <c r="F94" s="65"/>
      <c r="G94" s="22"/>
      <c r="H94" s="22"/>
      <c r="I94" s="22"/>
      <c r="J94" s="23"/>
      <c r="K94" s="22"/>
      <c r="L94" s="22"/>
      <c r="M94" s="22"/>
      <c r="N94" s="22"/>
      <c r="O94" s="22"/>
      <c r="P94" s="22"/>
      <c r="Q94" s="22"/>
      <c r="R94" s="24">
        <f t="shared" si="15"/>
        <v>0</v>
      </c>
      <c r="S94" s="24">
        <v>1</v>
      </c>
      <c r="T94" s="22">
        <v>1</v>
      </c>
      <c r="U94" s="25">
        <f t="shared" si="17"/>
        <v>0</v>
      </c>
    </row>
    <row r="95" spans="1:23" ht="16.5" customHeight="1" x14ac:dyDescent="0.2">
      <c r="A95" s="21">
        <f t="shared" si="18"/>
        <v>16</v>
      </c>
      <c r="B95" s="22"/>
      <c r="C95" s="21">
        <f t="shared" si="16"/>
        <v>16</v>
      </c>
      <c r="D95" s="21"/>
      <c r="E95" s="53"/>
      <c r="F95" s="65"/>
      <c r="G95" s="22"/>
      <c r="H95" s="22"/>
      <c r="I95" s="22"/>
      <c r="J95" s="23"/>
      <c r="K95" s="22"/>
      <c r="L95" s="22"/>
      <c r="M95" s="22"/>
      <c r="N95" s="22"/>
      <c r="O95" s="22"/>
      <c r="P95" s="22"/>
      <c r="Q95" s="22"/>
      <c r="R95" s="24">
        <f t="shared" si="15"/>
        <v>0</v>
      </c>
      <c r="S95" s="24">
        <v>1</v>
      </c>
      <c r="T95" s="22">
        <v>1</v>
      </c>
      <c r="U95" s="25">
        <f t="shared" si="17"/>
        <v>0</v>
      </c>
    </row>
    <row r="96" spans="1:23" ht="16.5" customHeight="1" x14ac:dyDescent="0.2">
      <c r="A96" s="21">
        <f t="shared" si="18"/>
        <v>17</v>
      </c>
      <c r="B96" s="22"/>
      <c r="C96" s="21">
        <f t="shared" si="16"/>
        <v>17</v>
      </c>
      <c r="D96" s="21"/>
      <c r="E96" s="53"/>
      <c r="F96" s="65"/>
      <c r="G96" s="22"/>
      <c r="H96" s="22"/>
      <c r="I96" s="22"/>
      <c r="J96" s="23"/>
      <c r="K96" s="22"/>
      <c r="L96" s="22"/>
      <c r="M96" s="22"/>
      <c r="N96" s="22"/>
      <c r="O96" s="22"/>
      <c r="P96" s="22"/>
      <c r="Q96" s="22"/>
      <c r="R96" s="24">
        <f t="shared" si="15"/>
        <v>0</v>
      </c>
      <c r="S96" s="24">
        <v>1</v>
      </c>
      <c r="T96" s="22">
        <v>1</v>
      </c>
      <c r="U96" s="25">
        <f t="shared" si="17"/>
        <v>0</v>
      </c>
    </row>
    <row r="97" spans="1:23" ht="16.5" customHeight="1" x14ac:dyDescent="0.2">
      <c r="A97" s="21">
        <f t="shared" si="18"/>
        <v>18</v>
      </c>
      <c r="B97" s="22"/>
      <c r="C97" s="21">
        <f t="shared" si="16"/>
        <v>18</v>
      </c>
      <c r="D97" s="21"/>
      <c r="E97" s="53"/>
      <c r="F97" s="65"/>
      <c r="G97" s="22"/>
      <c r="H97" s="22"/>
      <c r="I97" s="22"/>
      <c r="J97" s="23"/>
      <c r="K97" s="22"/>
      <c r="L97" s="22"/>
      <c r="M97" s="22"/>
      <c r="N97" s="22"/>
      <c r="O97" s="22"/>
      <c r="P97" s="22"/>
      <c r="Q97" s="22"/>
      <c r="R97" s="24">
        <f t="shared" si="15"/>
        <v>0</v>
      </c>
      <c r="S97" s="24">
        <v>1</v>
      </c>
      <c r="T97" s="22">
        <v>1</v>
      </c>
      <c r="U97" s="25">
        <f t="shared" si="17"/>
        <v>0</v>
      </c>
    </row>
    <row r="98" spans="1:23" ht="15" customHeight="1" x14ac:dyDescent="0.2">
      <c r="A98" s="73"/>
      <c r="B98" s="74"/>
      <c r="C98" s="75"/>
      <c r="D98" s="26"/>
      <c r="E98" s="54"/>
      <c r="F98" s="66"/>
      <c r="G98" s="61" t="s">
        <v>9</v>
      </c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3"/>
      <c r="T98" s="22">
        <f>SUM(T80:T97)</f>
        <v>18</v>
      </c>
      <c r="U98" s="25">
        <f>SUM(U80:U97)</f>
        <v>0</v>
      </c>
    </row>
    <row r="99" spans="1:23" ht="13.5" customHeight="1" thickBot="1" x14ac:dyDescent="0.25">
      <c r="A99" s="67" t="s">
        <v>9</v>
      </c>
      <c r="B99" s="68"/>
      <c r="C99" s="69"/>
      <c r="D99" s="10"/>
      <c r="E99" s="10"/>
      <c r="F99" s="9"/>
      <c r="G99" s="8"/>
      <c r="H99" s="8"/>
      <c r="I99" s="8"/>
      <c r="J99" s="11"/>
      <c r="K99" s="8"/>
      <c r="L99" s="8"/>
      <c r="M99" s="8"/>
      <c r="N99" s="11"/>
      <c r="O99" s="11"/>
      <c r="P99" s="11"/>
      <c r="Q99" s="11"/>
      <c r="R99" s="8"/>
      <c r="S99" s="8"/>
      <c r="T99" s="39">
        <f>+T98</f>
        <v>18</v>
      </c>
      <c r="U99" s="40">
        <f>+U98</f>
        <v>0</v>
      </c>
    </row>
    <row r="100" spans="1:23" ht="13.8" thickBot="1" x14ac:dyDescent="0.25"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23" x14ac:dyDescent="0.2">
      <c r="A101" s="70" t="s">
        <v>1</v>
      </c>
      <c r="B101" s="71"/>
      <c r="C101" s="72"/>
      <c r="D101" s="19"/>
      <c r="E101" s="19" t="s">
        <v>2</v>
      </c>
      <c r="F101" s="19" t="s">
        <v>3</v>
      </c>
      <c r="G101" s="19" t="str">
        <f>G$13</f>
        <v>G13</v>
      </c>
      <c r="H101" s="19" t="str">
        <f t="shared" ref="H101:Q101" si="19">H$13</f>
        <v>H13</v>
      </c>
      <c r="I101" s="19" t="str">
        <f t="shared" si="19"/>
        <v>I13</v>
      </c>
      <c r="J101" s="19" t="str">
        <f t="shared" si="19"/>
        <v>J13</v>
      </c>
      <c r="K101" s="19" t="str">
        <f t="shared" si="19"/>
        <v>K13</v>
      </c>
      <c r="L101" s="19" t="str">
        <f t="shared" si="19"/>
        <v>L13</v>
      </c>
      <c r="M101" s="19" t="str">
        <f t="shared" si="19"/>
        <v>M13</v>
      </c>
      <c r="N101" s="19" t="str">
        <f t="shared" si="19"/>
        <v>N13</v>
      </c>
      <c r="O101" s="19" t="str">
        <f t="shared" si="19"/>
        <v>O13</v>
      </c>
      <c r="P101" s="19" t="str">
        <f t="shared" si="19"/>
        <v>P13</v>
      </c>
      <c r="Q101" s="19" t="str">
        <f t="shared" si="19"/>
        <v>Q13</v>
      </c>
      <c r="R101" s="19" t="s">
        <v>5</v>
      </c>
      <c r="S101" s="19" t="s">
        <v>6</v>
      </c>
      <c r="T101" s="19" t="s">
        <v>7</v>
      </c>
      <c r="U101" s="20" t="s">
        <v>8</v>
      </c>
    </row>
    <row r="102" spans="1:23" ht="16.5" customHeight="1" x14ac:dyDescent="0.2">
      <c r="A102" s="21">
        <v>1</v>
      </c>
      <c r="B102" s="22"/>
      <c r="C102" s="21">
        <f>A102-1+T102</f>
        <v>1</v>
      </c>
      <c r="D102" s="21"/>
      <c r="E102" s="52" t="s">
        <v>41</v>
      </c>
      <c r="F102" s="64"/>
      <c r="G102" s="22"/>
      <c r="H102" s="22"/>
      <c r="I102" s="22"/>
      <c r="J102" s="23"/>
      <c r="K102" s="22"/>
      <c r="L102" s="22"/>
      <c r="M102" s="22"/>
      <c r="N102" s="22"/>
      <c r="O102" s="22"/>
      <c r="P102" s="22"/>
      <c r="Q102" s="22"/>
      <c r="R102" s="24">
        <f t="shared" ref="R102:R119" si="20">SUM(G102:Q102)</f>
        <v>0</v>
      </c>
      <c r="S102" s="24">
        <v>1</v>
      </c>
      <c r="T102" s="22">
        <v>1</v>
      </c>
      <c r="U102" s="25">
        <f>R102*S102*T102</f>
        <v>0</v>
      </c>
    </row>
    <row r="103" spans="1:23" ht="16.5" customHeight="1" x14ac:dyDescent="0.2">
      <c r="A103" s="21">
        <f>C102+1</f>
        <v>2</v>
      </c>
      <c r="B103" s="22"/>
      <c r="C103" s="21">
        <f t="shared" ref="C103:C119" si="21">A103-1+T103</f>
        <v>2</v>
      </c>
      <c r="D103" s="21"/>
      <c r="E103" s="53"/>
      <c r="F103" s="65"/>
      <c r="G103" s="22"/>
      <c r="H103" s="22"/>
      <c r="I103" s="22"/>
      <c r="J103" s="23"/>
      <c r="K103" s="22"/>
      <c r="L103" s="22"/>
      <c r="M103" s="22"/>
      <c r="N103" s="22"/>
      <c r="O103" s="22"/>
      <c r="P103" s="22"/>
      <c r="Q103" s="22"/>
      <c r="R103" s="24">
        <f t="shared" si="20"/>
        <v>0</v>
      </c>
      <c r="S103" s="24">
        <v>1</v>
      </c>
      <c r="T103" s="22">
        <v>1</v>
      </c>
      <c r="U103" s="25">
        <f t="shared" ref="U103:U119" si="22">R103*S103*T103</f>
        <v>0</v>
      </c>
      <c r="W103" s="15"/>
    </row>
    <row r="104" spans="1:23" ht="16.5" customHeight="1" x14ac:dyDescent="0.2">
      <c r="A104" s="21">
        <f t="shared" ref="A104:A119" si="23">C103+1</f>
        <v>3</v>
      </c>
      <c r="B104" s="22"/>
      <c r="C104" s="21">
        <f t="shared" si="21"/>
        <v>3</v>
      </c>
      <c r="D104" s="21"/>
      <c r="E104" s="53"/>
      <c r="F104" s="65"/>
      <c r="G104" s="22"/>
      <c r="H104" s="22"/>
      <c r="I104" s="22"/>
      <c r="J104" s="23"/>
      <c r="K104" s="22"/>
      <c r="L104" s="22"/>
      <c r="M104" s="22"/>
      <c r="N104" s="22"/>
      <c r="O104" s="22"/>
      <c r="P104" s="22"/>
      <c r="Q104" s="22"/>
      <c r="R104" s="24">
        <f t="shared" si="20"/>
        <v>0</v>
      </c>
      <c r="S104" s="24">
        <v>1</v>
      </c>
      <c r="T104" s="22">
        <v>1</v>
      </c>
      <c r="U104" s="25">
        <f t="shared" si="22"/>
        <v>0</v>
      </c>
      <c r="W104" s="12"/>
    </row>
    <row r="105" spans="1:23" ht="16.5" customHeight="1" x14ac:dyDescent="0.2">
      <c r="A105" s="21">
        <f t="shared" si="23"/>
        <v>4</v>
      </c>
      <c r="B105" s="22"/>
      <c r="C105" s="21">
        <f t="shared" si="21"/>
        <v>4</v>
      </c>
      <c r="D105" s="21"/>
      <c r="E105" s="53"/>
      <c r="F105" s="65"/>
      <c r="G105" s="22"/>
      <c r="H105" s="22"/>
      <c r="I105" s="22"/>
      <c r="J105" s="23"/>
      <c r="K105" s="22"/>
      <c r="L105" s="22"/>
      <c r="M105" s="22"/>
      <c r="N105" s="22"/>
      <c r="O105" s="22"/>
      <c r="P105" s="22"/>
      <c r="Q105" s="22"/>
      <c r="R105" s="24">
        <f t="shared" si="20"/>
        <v>0</v>
      </c>
      <c r="S105" s="24">
        <v>1</v>
      </c>
      <c r="T105" s="22">
        <v>1</v>
      </c>
      <c r="U105" s="25">
        <f t="shared" si="22"/>
        <v>0</v>
      </c>
      <c r="W105" s="12"/>
    </row>
    <row r="106" spans="1:23" ht="16.5" customHeight="1" x14ac:dyDescent="0.2">
      <c r="A106" s="21">
        <f t="shared" si="23"/>
        <v>5</v>
      </c>
      <c r="B106" s="22"/>
      <c r="C106" s="21">
        <f t="shared" si="21"/>
        <v>5</v>
      </c>
      <c r="D106" s="21"/>
      <c r="E106" s="53"/>
      <c r="F106" s="65"/>
      <c r="G106" s="22"/>
      <c r="H106" s="22"/>
      <c r="I106" s="22"/>
      <c r="J106" s="23"/>
      <c r="K106" s="22"/>
      <c r="L106" s="22"/>
      <c r="M106" s="22"/>
      <c r="N106" s="22"/>
      <c r="O106" s="22"/>
      <c r="P106" s="22"/>
      <c r="Q106" s="22"/>
      <c r="R106" s="24">
        <f t="shared" si="20"/>
        <v>0</v>
      </c>
      <c r="S106" s="24">
        <v>1</v>
      </c>
      <c r="T106" s="22">
        <v>1</v>
      </c>
      <c r="U106" s="25">
        <f t="shared" si="22"/>
        <v>0</v>
      </c>
      <c r="W106" s="12"/>
    </row>
    <row r="107" spans="1:23" ht="16.5" customHeight="1" x14ac:dyDescent="0.2">
      <c r="A107" s="21">
        <f t="shared" si="23"/>
        <v>6</v>
      </c>
      <c r="B107" s="22"/>
      <c r="C107" s="21">
        <f t="shared" si="21"/>
        <v>6</v>
      </c>
      <c r="D107" s="21"/>
      <c r="E107" s="53"/>
      <c r="F107" s="65"/>
      <c r="G107" s="22"/>
      <c r="H107" s="22"/>
      <c r="I107" s="22"/>
      <c r="J107" s="23"/>
      <c r="K107" s="22"/>
      <c r="L107" s="22"/>
      <c r="M107" s="22"/>
      <c r="N107" s="22"/>
      <c r="O107" s="22"/>
      <c r="P107" s="22"/>
      <c r="Q107" s="22"/>
      <c r="R107" s="24">
        <f t="shared" si="20"/>
        <v>0</v>
      </c>
      <c r="S107" s="24">
        <v>1</v>
      </c>
      <c r="T107" s="22">
        <v>1</v>
      </c>
      <c r="U107" s="25">
        <f t="shared" si="22"/>
        <v>0</v>
      </c>
    </row>
    <row r="108" spans="1:23" ht="16.5" customHeight="1" x14ac:dyDescent="0.2">
      <c r="A108" s="21">
        <f t="shared" si="23"/>
        <v>7</v>
      </c>
      <c r="B108" s="22"/>
      <c r="C108" s="21">
        <f t="shared" si="21"/>
        <v>7</v>
      </c>
      <c r="D108" s="21"/>
      <c r="E108" s="53"/>
      <c r="F108" s="65"/>
      <c r="G108" s="22"/>
      <c r="H108" s="22"/>
      <c r="I108" s="22"/>
      <c r="J108" s="23"/>
      <c r="K108" s="22"/>
      <c r="L108" s="22"/>
      <c r="M108" s="22"/>
      <c r="N108" s="22"/>
      <c r="O108" s="22"/>
      <c r="P108" s="22"/>
      <c r="Q108" s="22"/>
      <c r="R108" s="24">
        <f t="shared" si="20"/>
        <v>0</v>
      </c>
      <c r="S108" s="24">
        <v>1</v>
      </c>
      <c r="T108" s="22">
        <v>1</v>
      </c>
      <c r="U108" s="25">
        <f t="shared" si="22"/>
        <v>0</v>
      </c>
    </row>
    <row r="109" spans="1:23" ht="16.5" customHeight="1" x14ac:dyDescent="0.2">
      <c r="A109" s="21">
        <f t="shared" si="23"/>
        <v>8</v>
      </c>
      <c r="B109" s="22"/>
      <c r="C109" s="21">
        <f t="shared" si="21"/>
        <v>8</v>
      </c>
      <c r="D109" s="21"/>
      <c r="E109" s="53"/>
      <c r="F109" s="65"/>
      <c r="G109" s="22"/>
      <c r="H109" s="22"/>
      <c r="I109" s="22"/>
      <c r="J109" s="23"/>
      <c r="K109" s="22"/>
      <c r="L109" s="22"/>
      <c r="M109" s="22"/>
      <c r="N109" s="22"/>
      <c r="O109" s="22"/>
      <c r="P109" s="22"/>
      <c r="Q109" s="22"/>
      <c r="R109" s="24">
        <f t="shared" si="20"/>
        <v>0</v>
      </c>
      <c r="S109" s="24">
        <v>1</v>
      </c>
      <c r="T109" s="22">
        <v>1</v>
      </c>
      <c r="U109" s="25">
        <f t="shared" si="22"/>
        <v>0</v>
      </c>
    </row>
    <row r="110" spans="1:23" ht="16.5" customHeight="1" x14ac:dyDescent="0.2">
      <c r="A110" s="21">
        <f t="shared" si="23"/>
        <v>9</v>
      </c>
      <c r="B110" s="22"/>
      <c r="C110" s="21">
        <f t="shared" si="21"/>
        <v>9</v>
      </c>
      <c r="D110" s="21"/>
      <c r="E110" s="53"/>
      <c r="F110" s="65"/>
      <c r="G110" s="22"/>
      <c r="H110" s="22"/>
      <c r="I110" s="22"/>
      <c r="J110" s="23"/>
      <c r="K110" s="22"/>
      <c r="L110" s="22"/>
      <c r="M110" s="22"/>
      <c r="N110" s="22"/>
      <c r="O110" s="22"/>
      <c r="P110" s="22"/>
      <c r="Q110" s="22"/>
      <c r="R110" s="24">
        <f t="shared" si="20"/>
        <v>0</v>
      </c>
      <c r="S110" s="24">
        <v>1</v>
      </c>
      <c r="T110" s="22">
        <v>1</v>
      </c>
      <c r="U110" s="25">
        <f t="shared" si="22"/>
        <v>0</v>
      </c>
    </row>
    <row r="111" spans="1:23" ht="16.5" customHeight="1" x14ac:dyDescent="0.2">
      <c r="A111" s="21">
        <f t="shared" si="23"/>
        <v>10</v>
      </c>
      <c r="B111" s="22"/>
      <c r="C111" s="21">
        <f t="shared" si="21"/>
        <v>10</v>
      </c>
      <c r="D111" s="21"/>
      <c r="E111" s="53"/>
      <c r="F111" s="65"/>
      <c r="G111" s="22"/>
      <c r="H111" s="22"/>
      <c r="I111" s="22"/>
      <c r="J111" s="23"/>
      <c r="K111" s="22"/>
      <c r="L111" s="22"/>
      <c r="M111" s="22"/>
      <c r="N111" s="22"/>
      <c r="O111" s="22"/>
      <c r="P111" s="22"/>
      <c r="Q111" s="22"/>
      <c r="R111" s="24">
        <f t="shared" si="20"/>
        <v>0</v>
      </c>
      <c r="S111" s="24">
        <v>1</v>
      </c>
      <c r="T111" s="22">
        <v>1</v>
      </c>
      <c r="U111" s="25">
        <f t="shared" si="22"/>
        <v>0</v>
      </c>
    </row>
    <row r="112" spans="1:23" ht="16.5" customHeight="1" x14ac:dyDescent="0.2">
      <c r="A112" s="21">
        <f t="shared" si="23"/>
        <v>11</v>
      </c>
      <c r="B112" s="22"/>
      <c r="C112" s="21">
        <f t="shared" si="21"/>
        <v>11</v>
      </c>
      <c r="D112" s="21"/>
      <c r="E112" s="53"/>
      <c r="F112" s="65"/>
      <c r="G112" s="22"/>
      <c r="H112" s="22"/>
      <c r="I112" s="22"/>
      <c r="J112" s="23"/>
      <c r="K112" s="22"/>
      <c r="L112" s="22"/>
      <c r="M112" s="22"/>
      <c r="N112" s="22"/>
      <c r="O112" s="22"/>
      <c r="P112" s="22"/>
      <c r="Q112" s="22"/>
      <c r="R112" s="24">
        <f t="shared" si="20"/>
        <v>0</v>
      </c>
      <c r="S112" s="24">
        <v>1</v>
      </c>
      <c r="T112" s="22">
        <v>1</v>
      </c>
      <c r="U112" s="25">
        <f t="shared" si="22"/>
        <v>0</v>
      </c>
    </row>
    <row r="113" spans="1:23" ht="16.5" customHeight="1" x14ac:dyDescent="0.2">
      <c r="A113" s="21">
        <f t="shared" si="23"/>
        <v>12</v>
      </c>
      <c r="B113" s="22"/>
      <c r="C113" s="21">
        <f t="shared" si="21"/>
        <v>12</v>
      </c>
      <c r="D113" s="21"/>
      <c r="E113" s="53"/>
      <c r="F113" s="65"/>
      <c r="G113" s="22"/>
      <c r="H113" s="22"/>
      <c r="I113" s="22"/>
      <c r="J113" s="23"/>
      <c r="K113" s="22"/>
      <c r="L113" s="22"/>
      <c r="M113" s="22"/>
      <c r="N113" s="22"/>
      <c r="O113" s="22"/>
      <c r="P113" s="22"/>
      <c r="Q113" s="22"/>
      <c r="R113" s="24">
        <f t="shared" si="20"/>
        <v>0</v>
      </c>
      <c r="S113" s="24">
        <v>1</v>
      </c>
      <c r="T113" s="22">
        <v>1</v>
      </c>
      <c r="U113" s="25">
        <f t="shared" si="22"/>
        <v>0</v>
      </c>
      <c r="W113" s="12"/>
    </row>
    <row r="114" spans="1:23" ht="16.5" customHeight="1" x14ac:dyDescent="0.2">
      <c r="A114" s="21">
        <f t="shared" si="23"/>
        <v>13</v>
      </c>
      <c r="B114" s="22"/>
      <c r="C114" s="21">
        <f t="shared" si="21"/>
        <v>13</v>
      </c>
      <c r="D114" s="21"/>
      <c r="E114" s="53"/>
      <c r="F114" s="65"/>
      <c r="G114" s="22"/>
      <c r="H114" s="22"/>
      <c r="I114" s="22"/>
      <c r="J114" s="23"/>
      <c r="K114" s="22"/>
      <c r="L114" s="22"/>
      <c r="M114" s="22"/>
      <c r="N114" s="22"/>
      <c r="O114" s="22"/>
      <c r="P114" s="22"/>
      <c r="Q114" s="22"/>
      <c r="R114" s="24">
        <f t="shared" si="20"/>
        <v>0</v>
      </c>
      <c r="S114" s="24">
        <v>1</v>
      </c>
      <c r="T114" s="22">
        <v>1</v>
      </c>
      <c r="U114" s="25">
        <f t="shared" si="22"/>
        <v>0</v>
      </c>
    </row>
    <row r="115" spans="1:23" ht="16.5" customHeight="1" x14ac:dyDescent="0.2">
      <c r="A115" s="21">
        <f t="shared" si="23"/>
        <v>14</v>
      </c>
      <c r="B115" s="22"/>
      <c r="C115" s="21">
        <f t="shared" si="21"/>
        <v>14</v>
      </c>
      <c r="D115" s="21"/>
      <c r="E115" s="53"/>
      <c r="F115" s="65"/>
      <c r="G115" s="22"/>
      <c r="H115" s="22"/>
      <c r="I115" s="22"/>
      <c r="J115" s="23"/>
      <c r="K115" s="22"/>
      <c r="L115" s="22"/>
      <c r="M115" s="22"/>
      <c r="N115" s="22"/>
      <c r="O115" s="22"/>
      <c r="P115" s="22"/>
      <c r="Q115" s="22"/>
      <c r="R115" s="24">
        <f t="shared" si="20"/>
        <v>0</v>
      </c>
      <c r="S115" s="24">
        <v>1</v>
      </c>
      <c r="T115" s="22">
        <v>1</v>
      </c>
      <c r="U115" s="25">
        <f t="shared" si="22"/>
        <v>0</v>
      </c>
    </row>
    <row r="116" spans="1:23" ht="16.5" customHeight="1" x14ac:dyDescent="0.2">
      <c r="A116" s="21">
        <f t="shared" si="23"/>
        <v>15</v>
      </c>
      <c r="B116" s="22"/>
      <c r="C116" s="21">
        <f t="shared" si="21"/>
        <v>15</v>
      </c>
      <c r="D116" s="21"/>
      <c r="E116" s="53"/>
      <c r="F116" s="65"/>
      <c r="G116" s="22"/>
      <c r="H116" s="22"/>
      <c r="I116" s="22"/>
      <c r="J116" s="23"/>
      <c r="K116" s="22"/>
      <c r="L116" s="22"/>
      <c r="M116" s="22"/>
      <c r="N116" s="22"/>
      <c r="O116" s="22"/>
      <c r="P116" s="22"/>
      <c r="Q116" s="22"/>
      <c r="R116" s="24">
        <f t="shared" si="20"/>
        <v>0</v>
      </c>
      <c r="S116" s="24">
        <v>1</v>
      </c>
      <c r="T116" s="22">
        <v>1</v>
      </c>
      <c r="U116" s="25">
        <f t="shared" si="22"/>
        <v>0</v>
      </c>
    </row>
    <row r="117" spans="1:23" ht="16.5" customHeight="1" x14ac:dyDescent="0.2">
      <c r="A117" s="21">
        <f t="shared" si="23"/>
        <v>16</v>
      </c>
      <c r="B117" s="22"/>
      <c r="C117" s="21">
        <f t="shared" si="21"/>
        <v>16</v>
      </c>
      <c r="D117" s="21"/>
      <c r="E117" s="53"/>
      <c r="F117" s="65"/>
      <c r="G117" s="22"/>
      <c r="H117" s="22"/>
      <c r="I117" s="22"/>
      <c r="J117" s="23"/>
      <c r="K117" s="22"/>
      <c r="L117" s="22"/>
      <c r="M117" s="22"/>
      <c r="N117" s="22"/>
      <c r="O117" s="22"/>
      <c r="P117" s="22"/>
      <c r="Q117" s="22"/>
      <c r="R117" s="24">
        <f t="shared" si="20"/>
        <v>0</v>
      </c>
      <c r="S117" s="24">
        <v>1</v>
      </c>
      <c r="T117" s="22">
        <v>1</v>
      </c>
      <c r="U117" s="25">
        <f t="shared" si="22"/>
        <v>0</v>
      </c>
    </row>
    <row r="118" spans="1:23" ht="16.5" customHeight="1" x14ac:dyDescent="0.2">
      <c r="A118" s="21">
        <f t="shared" si="23"/>
        <v>17</v>
      </c>
      <c r="B118" s="22"/>
      <c r="C118" s="21">
        <f t="shared" si="21"/>
        <v>17</v>
      </c>
      <c r="D118" s="21"/>
      <c r="E118" s="53"/>
      <c r="F118" s="65"/>
      <c r="G118" s="22"/>
      <c r="H118" s="22"/>
      <c r="I118" s="22"/>
      <c r="J118" s="23"/>
      <c r="K118" s="22"/>
      <c r="L118" s="22"/>
      <c r="M118" s="22"/>
      <c r="N118" s="22"/>
      <c r="O118" s="22"/>
      <c r="P118" s="22"/>
      <c r="Q118" s="22"/>
      <c r="R118" s="24">
        <f t="shared" si="20"/>
        <v>0</v>
      </c>
      <c r="S118" s="24">
        <v>1</v>
      </c>
      <c r="T118" s="22">
        <v>1</v>
      </c>
      <c r="U118" s="25">
        <f t="shared" si="22"/>
        <v>0</v>
      </c>
    </row>
    <row r="119" spans="1:23" ht="16.5" customHeight="1" x14ac:dyDescent="0.2">
      <c r="A119" s="21">
        <f t="shared" si="23"/>
        <v>18</v>
      </c>
      <c r="B119" s="22"/>
      <c r="C119" s="21">
        <f t="shared" si="21"/>
        <v>18</v>
      </c>
      <c r="D119" s="21"/>
      <c r="E119" s="53"/>
      <c r="F119" s="65"/>
      <c r="G119" s="22"/>
      <c r="H119" s="22"/>
      <c r="I119" s="22"/>
      <c r="J119" s="23"/>
      <c r="K119" s="22"/>
      <c r="L119" s="22"/>
      <c r="M119" s="22"/>
      <c r="N119" s="22"/>
      <c r="O119" s="22"/>
      <c r="P119" s="22"/>
      <c r="Q119" s="22"/>
      <c r="R119" s="24">
        <f t="shared" si="20"/>
        <v>0</v>
      </c>
      <c r="S119" s="24">
        <v>1</v>
      </c>
      <c r="T119" s="22">
        <v>1</v>
      </c>
      <c r="U119" s="25">
        <f t="shared" si="22"/>
        <v>0</v>
      </c>
    </row>
    <row r="120" spans="1:23" ht="15" customHeight="1" x14ac:dyDescent="0.2">
      <c r="A120" s="73"/>
      <c r="B120" s="74"/>
      <c r="C120" s="75"/>
      <c r="D120" s="26"/>
      <c r="E120" s="54"/>
      <c r="F120" s="66"/>
      <c r="G120" s="61" t="s">
        <v>9</v>
      </c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3"/>
      <c r="T120" s="22">
        <f>SUM(T102:T119)</f>
        <v>18</v>
      </c>
      <c r="U120" s="25">
        <f>SUM(U102:U119)</f>
        <v>0</v>
      </c>
    </row>
    <row r="121" spans="1:23" ht="13.5" customHeight="1" thickBot="1" x14ac:dyDescent="0.25">
      <c r="A121" s="67" t="s">
        <v>9</v>
      </c>
      <c r="B121" s="68"/>
      <c r="C121" s="69"/>
      <c r="D121" s="10"/>
      <c r="E121" s="10"/>
      <c r="F121" s="9"/>
      <c r="G121" s="8"/>
      <c r="H121" s="8"/>
      <c r="I121" s="8"/>
      <c r="J121" s="11"/>
      <c r="K121" s="8"/>
      <c r="L121" s="8"/>
      <c r="M121" s="8"/>
      <c r="N121" s="11"/>
      <c r="O121" s="11"/>
      <c r="P121" s="11"/>
      <c r="Q121" s="11"/>
      <c r="R121" s="8"/>
      <c r="S121" s="8"/>
      <c r="T121" s="39">
        <f>+T120</f>
        <v>18</v>
      </c>
      <c r="U121" s="40">
        <f>+U120</f>
        <v>0</v>
      </c>
    </row>
    <row r="122" spans="1:23" ht="17.25" customHeight="1" thickBot="1" x14ac:dyDescent="0.25"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spans="1:23" x14ac:dyDescent="0.2">
      <c r="A123" s="70" t="s">
        <v>1</v>
      </c>
      <c r="B123" s="71"/>
      <c r="C123" s="72"/>
      <c r="D123" s="19"/>
      <c r="E123" s="19" t="s">
        <v>2</v>
      </c>
      <c r="F123" s="19" t="s">
        <v>3</v>
      </c>
      <c r="G123" s="19" t="str">
        <f>G$13</f>
        <v>G13</v>
      </c>
      <c r="H123" s="19" t="str">
        <f t="shared" ref="H123:Q123" si="24">H$13</f>
        <v>H13</v>
      </c>
      <c r="I123" s="19" t="str">
        <f t="shared" si="24"/>
        <v>I13</v>
      </c>
      <c r="J123" s="19" t="str">
        <f t="shared" si="24"/>
        <v>J13</v>
      </c>
      <c r="K123" s="19" t="str">
        <f t="shared" si="24"/>
        <v>K13</v>
      </c>
      <c r="L123" s="19" t="str">
        <f t="shared" si="24"/>
        <v>L13</v>
      </c>
      <c r="M123" s="19" t="str">
        <f t="shared" si="24"/>
        <v>M13</v>
      </c>
      <c r="N123" s="19" t="str">
        <f t="shared" si="24"/>
        <v>N13</v>
      </c>
      <c r="O123" s="19" t="str">
        <f t="shared" si="24"/>
        <v>O13</v>
      </c>
      <c r="P123" s="19" t="str">
        <f t="shared" si="24"/>
        <v>P13</v>
      </c>
      <c r="Q123" s="19" t="str">
        <f t="shared" si="24"/>
        <v>Q13</v>
      </c>
      <c r="R123" s="19" t="s">
        <v>5</v>
      </c>
      <c r="S123" s="19" t="s">
        <v>6</v>
      </c>
      <c r="T123" s="19" t="s">
        <v>7</v>
      </c>
      <c r="U123" s="20" t="s">
        <v>8</v>
      </c>
    </row>
    <row r="124" spans="1:23" ht="16.5" customHeight="1" x14ac:dyDescent="0.2">
      <c r="A124" s="21">
        <v>1</v>
      </c>
      <c r="B124" s="22"/>
      <c r="C124" s="21">
        <f>A124-1+T124</f>
        <v>1</v>
      </c>
      <c r="D124" s="21"/>
      <c r="E124" s="52" t="s">
        <v>41</v>
      </c>
      <c r="F124" s="64"/>
      <c r="G124" s="22"/>
      <c r="H124" s="22"/>
      <c r="I124" s="22"/>
      <c r="J124" s="23"/>
      <c r="K124" s="22"/>
      <c r="L124" s="22"/>
      <c r="M124" s="22"/>
      <c r="N124" s="22"/>
      <c r="O124" s="22"/>
      <c r="P124" s="22"/>
      <c r="Q124" s="22"/>
      <c r="R124" s="24">
        <f>SUM(G124:Q124)</f>
        <v>0</v>
      </c>
      <c r="S124" s="24">
        <v>1</v>
      </c>
      <c r="T124" s="22">
        <v>1</v>
      </c>
      <c r="U124" s="25">
        <f>R124*S124*T124</f>
        <v>0</v>
      </c>
    </row>
    <row r="125" spans="1:23" ht="16.5" customHeight="1" x14ac:dyDescent="0.2">
      <c r="A125" s="21">
        <f>C124+1</f>
        <v>2</v>
      </c>
      <c r="B125" s="22"/>
      <c r="C125" s="21">
        <f t="shared" ref="C125:C141" si="25">A125-1+T125</f>
        <v>2</v>
      </c>
      <c r="D125" s="21"/>
      <c r="E125" s="53"/>
      <c r="F125" s="65"/>
      <c r="G125" s="22"/>
      <c r="H125" s="22"/>
      <c r="I125" s="22"/>
      <c r="J125" s="23"/>
      <c r="K125" s="22"/>
      <c r="L125" s="22"/>
      <c r="M125" s="22"/>
      <c r="N125" s="22"/>
      <c r="O125" s="22"/>
      <c r="P125" s="22"/>
      <c r="Q125" s="22"/>
      <c r="R125" s="24">
        <f t="shared" ref="R125:R141" si="26">SUM(G125:Q125)</f>
        <v>0</v>
      </c>
      <c r="S125" s="24">
        <v>1</v>
      </c>
      <c r="T125" s="22">
        <v>1</v>
      </c>
      <c r="U125" s="25">
        <f t="shared" ref="U125:U141" si="27">R125*S125*T125</f>
        <v>0</v>
      </c>
      <c r="W125" s="15"/>
    </row>
    <row r="126" spans="1:23" ht="16.5" customHeight="1" x14ac:dyDescent="0.2">
      <c r="A126" s="21">
        <f t="shared" ref="A126:A141" si="28">C125+1</f>
        <v>3</v>
      </c>
      <c r="B126" s="22"/>
      <c r="C126" s="21">
        <f t="shared" si="25"/>
        <v>3</v>
      </c>
      <c r="D126" s="21"/>
      <c r="E126" s="53"/>
      <c r="F126" s="65"/>
      <c r="G126" s="22"/>
      <c r="H126" s="22"/>
      <c r="I126" s="22"/>
      <c r="J126" s="23"/>
      <c r="K126" s="22"/>
      <c r="L126" s="22"/>
      <c r="M126" s="22"/>
      <c r="N126" s="22"/>
      <c r="O126" s="22"/>
      <c r="P126" s="22"/>
      <c r="Q126" s="22"/>
      <c r="R126" s="24">
        <f t="shared" si="26"/>
        <v>0</v>
      </c>
      <c r="S126" s="24">
        <v>1</v>
      </c>
      <c r="T126" s="22">
        <v>1</v>
      </c>
      <c r="U126" s="25">
        <f t="shared" si="27"/>
        <v>0</v>
      </c>
      <c r="W126" s="12"/>
    </row>
    <row r="127" spans="1:23" ht="16.5" customHeight="1" x14ac:dyDescent="0.2">
      <c r="A127" s="21">
        <f t="shared" si="28"/>
        <v>4</v>
      </c>
      <c r="B127" s="22"/>
      <c r="C127" s="21">
        <f t="shared" si="25"/>
        <v>4</v>
      </c>
      <c r="D127" s="21"/>
      <c r="E127" s="53"/>
      <c r="F127" s="65"/>
      <c r="G127" s="22"/>
      <c r="H127" s="22"/>
      <c r="I127" s="22"/>
      <c r="J127" s="23"/>
      <c r="K127" s="22"/>
      <c r="L127" s="22"/>
      <c r="M127" s="22"/>
      <c r="N127" s="22"/>
      <c r="O127" s="22"/>
      <c r="P127" s="22"/>
      <c r="Q127" s="22"/>
      <c r="R127" s="24">
        <f t="shared" si="26"/>
        <v>0</v>
      </c>
      <c r="S127" s="24">
        <v>1</v>
      </c>
      <c r="T127" s="22">
        <v>1</v>
      </c>
      <c r="U127" s="25">
        <f t="shared" si="27"/>
        <v>0</v>
      </c>
      <c r="W127" s="12"/>
    </row>
    <row r="128" spans="1:23" ht="16.5" customHeight="1" x14ac:dyDescent="0.2">
      <c r="A128" s="21">
        <f t="shared" si="28"/>
        <v>5</v>
      </c>
      <c r="B128" s="22"/>
      <c r="C128" s="21">
        <f t="shared" si="25"/>
        <v>5</v>
      </c>
      <c r="D128" s="21"/>
      <c r="E128" s="53"/>
      <c r="F128" s="65"/>
      <c r="G128" s="22"/>
      <c r="H128" s="22"/>
      <c r="I128" s="22"/>
      <c r="J128" s="23"/>
      <c r="K128" s="22"/>
      <c r="L128" s="22"/>
      <c r="M128" s="22"/>
      <c r="N128" s="22"/>
      <c r="O128" s="22"/>
      <c r="P128" s="22"/>
      <c r="Q128" s="22"/>
      <c r="R128" s="24">
        <f t="shared" si="26"/>
        <v>0</v>
      </c>
      <c r="S128" s="24">
        <v>1</v>
      </c>
      <c r="T128" s="22">
        <v>1</v>
      </c>
      <c r="U128" s="25">
        <f t="shared" si="27"/>
        <v>0</v>
      </c>
      <c r="W128" s="12"/>
    </row>
    <row r="129" spans="1:23" ht="16.5" customHeight="1" x14ac:dyDescent="0.2">
      <c r="A129" s="21">
        <f t="shared" si="28"/>
        <v>6</v>
      </c>
      <c r="B129" s="22"/>
      <c r="C129" s="21">
        <f t="shared" si="25"/>
        <v>6</v>
      </c>
      <c r="D129" s="21"/>
      <c r="E129" s="53"/>
      <c r="F129" s="65"/>
      <c r="G129" s="22"/>
      <c r="H129" s="22"/>
      <c r="I129" s="22"/>
      <c r="J129" s="23"/>
      <c r="K129" s="22"/>
      <c r="L129" s="22"/>
      <c r="M129" s="22"/>
      <c r="N129" s="22"/>
      <c r="O129" s="22"/>
      <c r="P129" s="22"/>
      <c r="Q129" s="22"/>
      <c r="R129" s="24">
        <f t="shared" si="26"/>
        <v>0</v>
      </c>
      <c r="S129" s="24">
        <v>1</v>
      </c>
      <c r="T129" s="22">
        <v>1</v>
      </c>
      <c r="U129" s="25">
        <f t="shared" si="27"/>
        <v>0</v>
      </c>
    </row>
    <row r="130" spans="1:23" ht="16.5" customHeight="1" x14ac:dyDescent="0.2">
      <c r="A130" s="21">
        <f t="shared" si="28"/>
        <v>7</v>
      </c>
      <c r="B130" s="22"/>
      <c r="C130" s="21">
        <f t="shared" si="25"/>
        <v>7</v>
      </c>
      <c r="D130" s="21"/>
      <c r="E130" s="53"/>
      <c r="F130" s="65"/>
      <c r="G130" s="22"/>
      <c r="H130" s="22"/>
      <c r="I130" s="22"/>
      <c r="J130" s="23"/>
      <c r="K130" s="22"/>
      <c r="L130" s="22"/>
      <c r="M130" s="22"/>
      <c r="N130" s="22"/>
      <c r="O130" s="22"/>
      <c r="P130" s="22"/>
      <c r="Q130" s="22"/>
      <c r="R130" s="24">
        <f t="shared" si="26"/>
        <v>0</v>
      </c>
      <c r="S130" s="24">
        <v>1</v>
      </c>
      <c r="T130" s="22">
        <v>1</v>
      </c>
      <c r="U130" s="25">
        <f t="shared" si="27"/>
        <v>0</v>
      </c>
    </row>
    <row r="131" spans="1:23" ht="16.5" customHeight="1" x14ac:dyDescent="0.2">
      <c r="A131" s="21">
        <f t="shared" si="28"/>
        <v>8</v>
      </c>
      <c r="B131" s="22"/>
      <c r="C131" s="21">
        <f t="shared" si="25"/>
        <v>8</v>
      </c>
      <c r="D131" s="21"/>
      <c r="E131" s="53"/>
      <c r="F131" s="65"/>
      <c r="G131" s="22"/>
      <c r="H131" s="22"/>
      <c r="I131" s="22"/>
      <c r="J131" s="23"/>
      <c r="K131" s="22"/>
      <c r="L131" s="22"/>
      <c r="M131" s="22"/>
      <c r="N131" s="22"/>
      <c r="O131" s="22"/>
      <c r="P131" s="22"/>
      <c r="Q131" s="22"/>
      <c r="R131" s="24">
        <f t="shared" si="26"/>
        <v>0</v>
      </c>
      <c r="S131" s="24">
        <v>1</v>
      </c>
      <c r="T131" s="22">
        <v>1</v>
      </c>
      <c r="U131" s="25">
        <f t="shared" si="27"/>
        <v>0</v>
      </c>
    </row>
    <row r="132" spans="1:23" ht="16.5" customHeight="1" x14ac:dyDescent="0.2">
      <c r="A132" s="21">
        <f t="shared" si="28"/>
        <v>9</v>
      </c>
      <c r="B132" s="22"/>
      <c r="C132" s="21">
        <f t="shared" si="25"/>
        <v>9</v>
      </c>
      <c r="D132" s="21"/>
      <c r="E132" s="53"/>
      <c r="F132" s="65"/>
      <c r="G132" s="22"/>
      <c r="H132" s="22"/>
      <c r="I132" s="22"/>
      <c r="J132" s="23"/>
      <c r="K132" s="22"/>
      <c r="L132" s="22"/>
      <c r="M132" s="22"/>
      <c r="N132" s="22"/>
      <c r="O132" s="22"/>
      <c r="P132" s="22"/>
      <c r="Q132" s="22"/>
      <c r="R132" s="24">
        <f t="shared" si="26"/>
        <v>0</v>
      </c>
      <c r="S132" s="24">
        <v>1</v>
      </c>
      <c r="T132" s="22">
        <v>1</v>
      </c>
      <c r="U132" s="25">
        <f t="shared" si="27"/>
        <v>0</v>
      </c>
    </row>
    <row r="133" spans="1:23" ht="16.5" customHeight="1" x14ac:dyDescent="0.2">
      <c r="A133" s="21">
        <f t="shared" si="28"/>
        <v>10</v>
      </c>
      <c r="B133" s="22"/>
      <c r="C133" s="21">
        <f t="shared" si="25"/>
        <v>10</v>
      </c>
      <c r="D133" s="21"/>
      <c r="E133" s="53"/>
      <c r="F133" s="65"/>
      <c r="G133" s="22"/>
      <c r="H133" s="22"/>
      <c r="I133" s="22"/>
      <c r="J133" s="23"/>
      <c r="K133" s="22"/>
      <c r="L133" s="22"/>
      <c r="M133" s="22"/>
      <c r="N133" s="22"/>
      <c r="O133" s="22"/>
      <c r="P133" s="22"/>
      <c r="Q133" s="22"/>
      <c r="R133" s="24">
        <f t="shared" si="26"/>
        <v>0</v>
      </c>
      <c r="S133" s="24">
        <v>1</v>
      </c>
      <c r="T133" s="22">
        <v>1</v>
      </c>
      <c r="U133" s="25">
        <f t="shared" si="27"/>
        <v>0</v>
      </c>
    </row>
    <row r="134" spans="1:23" ht="16.5" customHeight="1" x14ac:dyDescent="0.2">
      <c r="A134" s="21">
        <f t="shared" si="28"/>
        <v>11</v>
      </c>
      <c r="B134" s="22"/>
      <c r="C134" s="21">
        <f t="shared" si="25"/>
        <v>11</v>
      </c>
      <c r="D134" s="21"/>
      <c r="E134" s="53"/>
      <c r="F134" s="65"/>
      <c r="G134" s="22"/>
      <c r="H134" s="22"/>
      <c r="I134" s="22"/>
      <c r="J134" s="23"/>
      <c r="K134" s="22"/>
      <c r="L134" s="22"/>
      <c r="M134" s="22"/>
      <c r="N134" s="22"/>
      <c r="O134" s="22"/>
      <c r="P134" s="22"/>
      <c r="Q134" s="22"/>
      <c r="R134" s="24">
        <f t="shared" si="26"/>
        <v>0</v>
      </c>
      <c r="S134" s="24">
        <v>1</v>
      </c>
      <c r="T134" s="22">
        <v>1</v>
      </c>
      <c r="U134" s="25">
        <f t="shared" si="27"/>
        <v>0</v>
      </c>
    </row>
    <row r="135" spans="1:23" ht="16.5" customHeight="1" x14ac:dyDescent="0.2">
      <c r="A135" s="21">
        <f t="shared" si="28"/>
        <v>12</v>
      </c>
      <c r="B135" s="22"/>
      <c r="C135" s="21">
        <f t="shared" si="25"/>
        <v>12</v>
      </c>
      <c r="D135" s="21"/>
      <c r="E135" s="53"/>
      <c r="F135" s="65"/>
      <c r="G135" s="22"/>
      <c r="H135" s="22"/>
      <c r="I135" s="22"/>
      <c r="J135" s="23"/>
      <c r="K135" s="22"/>
      <c r="L135" s="22"/>
      <c r="M135" s="22"/>
      <c r="N135" s="22"/>
      <c r="O135" s="22"/>
      <c r="P135" s="22"/>
      <c r="Q135" s="22"/>
      <c r="R135" s="24">
        <f t="shared" si="26"/>
        <v>0</v>
      </c>
      <c r="S135" s="24">
        <v>1</v>
      </c>
      <c r="T135" s="22">
        <v>1</v>
      </c>
      <c r="U135" s="25">
        <f t="shared" si="27"/>
        <v>0</v>
      </c>
      <c r="W135" s="12"/>
    </row>
    <row r="136" spans="1:23" ht="16.5" customHeight="1" x14ac:dyDescent="0.2">
      <c r="A136" s="21">
        <f t="shared" si="28"/>
        <v>13</v>
      </c>
      <c r="B136" s="22"/>
      <c r="C136" s="21">
        <f t="shared" si="25"/>
        <v>13</v>
      </c>
      <c r="D136" s="21"/>
      <c r="E136" s="53"/>
      <c r="F136" s="65"/>
      <c r="G136" s="22"/>
      <c r="H136" s="22"/>
      <c r="I136" s="22"/>
      <c r="J136" s="23"/>
      <c r="K136" s="22"/>
      <c r="L136" s="22"/>
      <c r="M136" s="22"/>
      <c r="N136" s="22"/>
      <c r="O136" s="22"/>
      <c r="P136" s="22"/>
      <c r="Q136" s="22"/>
      <c r="R136" s="24">
        <f t="shared" si="26"/>
        <v>0</v>
      </c>
      <c r="S136" s="24">
        <v>1</v>
      </c>
      <c r="T136" s="22">
        <v>1</v>
      </c>
      <c r="U136" s="25">
        <f t="shared" si="27"/>
        <v>0</v>
      </c>
    </row>
    <row r="137" spans="1:23" ht="16.5" customHeight="1" x14ac:dyDescent="0.2">
      <c r="A137" s="21">
        <f t="shared" si="28"/>
        <v>14</v>
      </c>
      <c r="B137" s="22"/>
      <c r="C137" s="21">
        <f t="shared" si="25"/>
        <v>14</v>
      </c>
      <c r="D137" s="21"/>
      <c r="E137" s="53"/>
      <c r="F137" s="65"/>
      <c r="G137" s="22"/>
      <c r="H137" s="22"/>
      <c r="I137" s="22"/>
      <c r="J137" s="23"/>
      <c r="K137" s="22"/>
      <c r="L137" s="22"/>
      <c r="M137" s="22"/>
      <c r="N137" s="22"/>
      <c r="O137" s="22"/>
      <c r="P137" s="22"/>
      <c r="Q137" s="22"/>
      <c r="R137" s="24">
        <f t="shared" si="26"/>
        <v>0</v>
      </c>
      <c r="S137" s="24">
        <v>1</v>
      </c>
      <c r="T137" s="22">
        <v>1</v>
      </c>
      <c r="U137" s="25">
        <f t="shared" si="27"/>
        <v>0</v>
      </c>
    </row>
    <row r="138" spans="1:23" ht="16.5" customHeight="1" x14ac:dyDescent="0.2">
      <c r="A138" s="21">
        <f t="shared" si="28"/>
        <v>15</v>
      </c>
      <c r="B138" s="22"/>
      <c r="C138" s="21">
        <f t="shared" si="25"/>
        <v>15</v>
      </c>
      <c r="D138" s="21"/>
      <c r="E138" s="53"/>
      <c r="F138" s="65"/>
      <c r="G138" s="22"/>
      <c r="H138" s="22"/>
      <c r="I138" s="22"/>
      <c r="J138" s="23"/>
      <c r="K138" s="22"/>
      <c r="L138" s="22"/>
      <c r="M138" s="22"/>
      <c r="N138" s="22"/>
      <c r="O138" s="22"/>
      <c r="P138" s="22"/>
      <c r="Q138" s="22"/>
      <c r="R138" s="24">
        <f t="shared" si="26"/>
        <v>0</v>
      </c>
      <c r="S138" s="24">
        <v>1</v>
      </c>
      <c r="T138" s="22">
        <v>1</v>
      </c>
      <c r="U138" s="25">
        <f t="shared" si="27"/>
        <v>0</v>
      </c>
    </row>
    <row r="139" spans="1:23" ht="16.5" customHeight="1" x14ac:dyDescent="0.2">
      <c r="A139" s="21">
        <f t="shared" si="28"/>
        <v>16</v>
      </c>
      <c r="B139" s="22"/>
      <c r="C139" s="21">
        <f t="shared" si="25"/>
        <v>16</v>
      </c>
      <c r="D139" s="21"/>
      <c r="E139" s="53"/>
      <c r="F139" s="65"/>
      <c r="G139" s="22"/>
      <c r="H139" s="22"/>
      <c r="I139" s="22"/>
      <c r="J139" s="23"/>
      <c r="K139" s="22"/>
      <c r="L139" s="22"/>
      <c r="M139" s="22"/>
      <c r="N139" s="22"/>
      <c r="O139" s="22"/>
      <c r="P139" s="22"/>
      <c r="Q139" s="22"/>
      <c r="R139" s="24">
        <f t="shared" si="26"/>
        <v>0</v>
      </c>
      <c r="S139" s="24">
        <v>1</v>
      </c>
      <c r="T139" s="22">
        <v>1</v>
      </c>
      <c r="U139" s="25">
        <f t="shared" si="27"/>
        <v>0</v>
      </c>
    </row>
    <row r="140" spans="1:23" ht="16.5" customHeight="1" x14ac:dyDescent="0.2">
      <c r="A140" s="21">
        <f t="shared" si="28"/>
        <v>17</v>
      </c>
      <c r="B140" s="22"/>
      <c r="C140" s="21">
        <f t="shared" si="25"/>
        <v>17</v>
      </c>
      <c r="D140" s="21"/>
      <c r="E140" s="53"/>
      <c r="F140" s="65"/>
      <c r="G140" s="22"/>
      <c r="H140" s="22"/>
      <c r="I140" s="22"/>
      <c r="J140" s="23"/>
      <c r="K140" s="22"/>
      <c r="L140" s="22"/>
      <c r="M140" s="22"/>
      <c r="N140" s="22"/>
      <c r="O140" s="22"/>
      <c r="P140" s="22"/>
      <c r="Q140" s="22"/>
      <c r="R140" s="24">
        <f t="shared" si="26"/>
        <v>0</v>
      </c>
      <c r="S140" s="24">
        <v>1</v>
      </c>
      <c r="T140" s="22">
        <v>1</v>
      </c>
      <c r="U140" s="25">
        <f t="shared" si="27"/>
        <v>0</v>
      </c>
    </row>
    <row r="141" spans="1:23" ht="16.5" customHeight="1" x14ac:dyDescent="0.2">
      <c r="A141" s="21">
        <f t="shared" si="28"/>
        <v>18</v>
      </c>
      <c r="B141" s="22"/>
      <c r="C141" s="21">
        <f t="shared" si="25"/>
        <v>18</v>
      </c>
      <c r="D141" s="21"/>
      <c r="E141" s="53"/>
      <c r="F141" s="65"/>
      <c r="G141" s="22"/>
      <c r="H141" s="22"/>
      <c r="I141" s="22"/>
      <c r="J141" s="23"/>
      <c r="K141" s="22"/>
      <c r="L141" s="22"/>
      <c r="M141" s="22"/>
      <c r="N141" s="22"/>
      <c r="O141" s="22"/>
      <c r="P141" s="22"/>
      <c r="Q141" s="22"/>
      <c r="R141" s="24">
        <f t="shared" si="26"/>
        <v>0</v>
      </c>
      <c r="S141" s="24">
        <v>1</v>
      </c>
      <c r="T141" s="22">
        <v>1</v>
      </c>
      <c r="U141" s="25">
        <f t="shared" si="27"/>
        <v>0</v>
      </c>
    </row>
    <row r="142" spans="1:23" ht="15" customHeight="1" x14ac:dyDescent="0.2">
      <c r="A142" s="73"/>
      <c r="B142" s="74"/>
      <c r="C142" s="75"/>
      <c r="D142" s="26"/>
      <c r="E142" s="54"/>
      <c r="F142" s="66"/>
      <c r="G142" s="61" t="s">
        <v>9</v>
      </c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3"/>
      <c r="T142" s="22">
        <f>SUM(T124:T141)</f>
        <v>18</v>
      </c>
      <c r="U142" s="25">
        <f>SUM(U124:U141)</f>
        <v>0</v>
      </c>
    </row>
    <row r="143" spans="1:23" ht="13.5" customHeight="1" thickBot="1" x14ac:dyDescent="0.25">
      <c r="A143" s="67" t="s">
        <v>9</v>
      </c>
      <c r="B143" s="68"/>
      <c r="C143" s="69"/>
      <c r="D143" s="10"/>
      <c r="E143" s="10"/>
      <c r="F143" s="9"/>
      <c r="G143" s="8"/>
      <c r="H143" s="8"/>
      <c r="I143" s="8"/>
      <c r="J143" s="11"/>
      <c r="K143" s="8"/>
      <c r="L143" s="8"/>
      <c r="M143" s="8"/>
      <c r="N143" s="11"/>
      <c r="O143" s="11"/>
      <c r="P143" s="11"/>
      <c r="Q143" s="11"/>
      <c r="R143" s="8"/>
      <c r="S143" s="8"/>
      <c r="T143" s="39">
        <f>+T142</f>
        <v>18</v>
      </c>
      <c r="U143" s="40">
        <f>+U142</f>
        <v>0</v>
      </c>
    </row>
    <row r="145" spans="1:21" x14ac:dyDescent="0.2">
      <c r="E145" s="1" t="s">
        <v>10</v>
      </c>
      <c r="F145" s="1" t="s">
        <v>11</v>
      </c>
      <c r="G145" s="1" t="s">
        <v>12</v>
      </c>
      <c r="I145" s="1" t="s">
        <v>13</v>
      </c>
    </row>
    <row r="146" spans="1:21" ht="13.8" thickBot="1" x14ac:dyDescent="0.25">
      <c r="A146" s="1" t="s">
        <v>1</v>
      </c>
      <c r="E146" s="1" t="s">
        <v>14</v>
      </c>
      <c r="F146" s="1" t="s">
        <v>14</v>
      </c>
      <c r="G146" s="1" t="s">
        <v>4</v>
      </c>
      <c r="H146" s="1" t="s">
        <v>15</v>
      </c>
      <c r="I146" s="1" t="s">
        <v>16</v>
      </c>
      <c r="T146" s="12"/>
      <c r="U146" s="12"/>
    </row>
    <row r="147" spans="1:21" ht="13.8" thickBot="1" x14ac:dyDescent="0.25">
      <c r="A147" s="27">
        <v>1</v>
      </c>
      <c r="B147" s="28" t="s">
        <v>17</v>
      </c>
      <c r="C147" s="29">
        <f>T33</f>
        <v>18</v>
      </c>
      <c r="D147" s="29"/>
      <c r="E147" s="28">
        <f t="shared" ref="E147:E152" si="29">+C147*0.5+F147</f>
        <v>9</v>
      </c>
      <c r="F147" s="28">
        <f>R158*0.3</f>
        <v>0</v>
      </c>
      <c r="G147" s="28">
        <v>60</v>
      </c>
      <c r="H147" s="28">
        <v>40</v>
      </c>
      <c r="I147" s="30">
        <v>40</v>
      </c>
      <c r="K147" s="12"/>
    </row>
    <row r="148" spans="1:21" ht="13.8" thickBot="1" x14ac:dyDescent="0.25">
      <c r="A148" s="27">
        <v>1</v>
      </c>
      <c r="B148" s="28" t="s">
        <v>17</v>
      </c>
      <c r="C148" s="29">
        <f>T55</f>
        <v>18</v>
      </c>
      <c r="D148" s="29"/>
      <c r="E148" s="28">
        <f t="shared" si="29"/>
        <v>9</v>
      </c>
      <c r="F148" s="28">
        <f>R164*0.3</f>
        <v>0</v>
      </c>
      <c r="G148" s="28">
        <v>60</v>
      </c>
      <c r="H148" s="28">
        <v>40</v>
      </c>
      <c r="I148" s="30">
        <v>40</v>
      </c>
      <c r="K148" s="12"/>
    </row>
    <row r="149" spans="1:21" ht="13.8" thickBot="1" x14ac:dyDescent="0.25">
      <c r="A149" s="27">
        <v>1</v>
      </c>
      <c r="B149" s="28" t="s">
        <v>17</v>
      </c>
      <c r="C149" s="29">
        <f>T77</f>
        <v>18</v>
      </c>
      <c r="D149" s="29"/>
      <c r="E149" s="28">
        <f t="shared" si="29"/>
        <v>9</v>
      </c>
      <c r="F149" s="28">
        <f>R170*0.3</f>
        <v>0</v>
      </c>
      <c r="G149" s="28">
        <v>60</v>
      </c>
      <c r="H149" s="28">
        <v>40</v>
      </c>
      <c r="I149" s="30">
        <v>40</v>
      </c>
      <c r="K149" s="12"/>
    </row>
    <row r="150" spans="1:21" ht="13.8" thickBot="1" x14ac:dyDescent="0.25">
      <c r="A150" s="27">
        <v>1</v>
      </c>
      <c r="B150" s="28" t="s">
        <v>17</v>
      </c>
      <c r="C150" s="29">
        <f>T99</f>
        <v>18</v>
      </c>
      <c r="D150" s="29"/>
      <c r="E150" s="28">
        <f t="shared" si="29"/>
        <v>9</v>
      </c>
      <c r="F150" s="28">
        <f>R176*0.3</f>
        <v>0</v>
      </c>
      <c r="G150" s="28">
        <v>60</v>
      </c>
      <c r="H150" s="28">
        <v>40</v>
      </c>
      <c r="I150" s="30">
        <v>40</v>
      </c>
      <c r="K150" s="12"/>
    </row>
    <row r="151" spans="1:21" ht="13.8" thickBot="1" x14ac:dyDescent="0.25">
      <c r="A151" s="27">
        <v>1</v>
      </c>
      <c r="B151" s="28" t="s">
        <v>17</v>
      </c>
      <c r="C151" s="29">
        <f>T121</f>
        <v>18</v>
      </c>
      <c r="D151" s="29"/>
      <c r="E151" s="28">
        <f t="shared" si="29"/>
        <v>9</v>
      </c>
      <c r="F151" s="28">
        <f>R182*0.3</f>
        <v>0</v>
      </c>
      <c r="G151" s="28">
        <v>60</v>
      </c>
      <c r="H151" s="28">
        <v>40</v>
      </c>
      <c r="I151" s="30">
        <v>40</v>
      </c>
      <c r="K151" s="12"/>
    </row>
    <row r="152" spans="1:21" ht="13.8" thickBot="1" x14ac:dyDescent="0.25">
      <c r="A152" s="27">
        <v>1</v>
      </c>
      <c r="B152" s="28" t="s">
        <v>17</v>
      </c>
      <c r="C152" s="29">
        <f>T143</f>
        <v>18</v>
      </c>
      <c r="D152" s="51"/>
      <c r="E152" s="28">
        <f t="shared" si="29"/>
        <v>9</v>
      </c>
      <c r="F152" s="28">
        <f>R188*0.3</f>
        <v>0</v>
      </c>
      <c r="G152" s="28">
        <v>60</v>
      </c>
      <c r="H152" s="28">
        <v>40</v>
      </c>
      <c r="I152" s="30">
        <v>40</v>
      </c>
      <c r="K152" s="12"/>
      <c r="T152" s="12"/>
    </row>
    <row r="153" spans="1:21" ht="13.8" thickBot="1" x14ac:dyDescent="0.25">
      <c r="A153" s="55" t="s">
        <v>18</v>
      </c>
      <c r="B153" s="56"/>
      <c r="C153" s="56"/>
      <c r="D153" s="57"/>
      <c r="E153" s="2">
        <f>SUM(E147:E152)</f>
        <v>54</v>
      </c>
      <c r="F153" s="3">
        <f>SUM(F147:F152)</f>
        <v>0</v>
      </c>
      <c r="G153" s="58">
        <f>(G147*H147*I147*E195/1000000)</f>
        <v>10.368</v>
      </c>
      <c r="H153" s="59"/>
      <c r="I153" s="60"/>
    </row>
    <row r="154" spans="1:21" x14ac:dyDescent="0.2">
      <c r="A154" s="4"/>
      <c r="B154" s="4"/>
      <c r="C154" s="4"/>
      <c r="D154" s="4"/>
      <c r="E154" s="5"/>
      <c r="F154" s="6"/>
      <c r="G154" s="7"/>
      <c r="H154" s="7"/>
      <c r="I154" s="7"/>
    </row>
    <row r="155" spans="1:21" ht="13.8" thickBot="1" x14ac:dyDescent="0.25">
      <c r="A155" s="12" t="s">
        <v>19</v>
      </c>
    </row>
    <row r="156" spans="1:21" ht="30" customHeight="1" x14ac:dyDescent="0.2">
      <c r="A156" s="83" t="s">
        <v>42</v>
      </c>
      <c r="B156" s="84"/>
      <c r="C156" s="84"/>
      <c r="D156" s="84"/>
      <c r="E156" s="85"/>
      <c r="F156" s="48"/>
      <c r="G156" s="42" t="str">
        <f>G$13</f>
        <v>G13</v>
      </c>
      <c r="H156" s="42" t="str">
        <f t="shared" ref="H156:Q156" si="30">H$13</f>
        <v>H13</v>
      </c>
      <c r="I156" s="42" t="str">
        <f t="shared" si="30"/>
        <v>I13</v>
      </c>
      <c r="J156" s="42" t="str">
        <f t="shared" si="30"/>
        <v>J13</v>
      </c>
      <c r="K156" s="42" t="str">
        <f t="shared" si="30"/>
        <v>K13</v>
      </c>
      <c r="L156" s="42" t="str">
        <f t="shared" si="30"/>
        <v>L13</v>
      </c>
      <c r="M156" s="42" t="str">
        <f t="shared" si="30"/>
        <v>M13</v>
      </c>
      <c r="N156" s="42" t="str">
        <f t="shared" si="30"/>
        <v>N13</v>
      </c>
      <c r="O156" s="42" t="str">
        <f t="shared" si="30"/>
        <v>O13</v>
      </c>
      <c r="P156" s="42" t="str">
        <f t="shared" si="30"/>
        <v>P13</v>
      </c>
      <c r="Q156" s="42" t="str">
        <f t="shared" si="30"/>
        <v>Q13</v>
      </c>
      <c r="R156" s="43" t="s">
        <v>8</v>
      </c>
    </row>
    <row r="157" spans="1:21" ht="14.4" x14ac:dyDescent="0.2">
      <c r="A157" s="77" t="s">
        <v>35</v>
      </c>
      <c r="B157" s="78"/>
      <c r="C157" s="79"/>
      <c r="D157" s="31"/>
      <c r="E157" s="32"/>
      <c r="F157" s="49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7"/>
      <c r="R157" s="44">
        <f>SUM(G157:Q157)</f>
        <v>0</v>
      </c>
    </row>
    <row r="158" spans="1:21" ht="14.4" x14ac:dyDescent="0.2">
      <c r="A158" s="77" t="s">
        <v>34</v>
      </c>
      <c r="B158" s="78"/>
      <c r="C158" s="79"/>
      <c r="D158" s="31"/>
      <c r="E158" s="32"/>
      <c r="F158" s="49"/>
      <c r="G158" s="41" cm="1">
        <f t="array" ref="G158">SUM(G14:G31*$S14:$S31*$T14:$T31)</f>
        <v>0</v>
      </c>
      <c r="H158" s="41" cm="1">
        <f t="array" ref="H158">SUM(H14:H31*$S14:$S31*$T14:$T31)</f>
        <v>0</v>
      </c>
      <c r="I158" s="41" cm="1">
        <f t="array" ref="I158">SUM(I14:I31*$S14:$S31*$T14:$T31)</f>
        <v>0</v>
      </c>
      <c r="J158" s="41" cm="1">
        <f t="array" ref="J158">SUM(J14:J31*$S14:$S31*$T14:$T31)</f>
        <v>0</v>
      </c>
      <c r="K158" s="41" cm="1">
        <f t="array" ref="K158">SUM(K14:K31*$S14:$S31*$T14:$T31)</f>
        <v>0</v>
      </c>
      <c r="L158" s="41" cm="1">
        <f t="array" ref="L158">SUM(L14:L31*$S14:$S31*$T14:$T31)</f>
        <v>0</v>
      </c>
      <c r="M158" s="41" cm="1">
        <f t="array" ref="M158">SUM(M14:M31*$S14:$S31*$T14:$T31)</f>
        <v>0</v>
      </c>
      <c r="N158" s="41" cm="1">
        <f t="array" ref="N158">SUM(N14:N31*$S14:$S31*$T14:$T31)</f>
        <v>0</v>
      </c>
      <c r="O158" s="41" cm="1">
        <f t="array" ref="O158">SUM(O14:O31*$S14:$S31*$T14:$T31)</f>
        <v>0</v>
      </c>
      <c r="P158" s="41" cm="1">
        <f t="array" ref="P158">SUM(P14:P31*$S14:$S31*$T14:$T31)</f>
        <v>0</v>
      </c>
      <c r="Q158" s="41" cm="1">
        <f t="array" ref="Q158">SUM(Q14:Q31*$S14:$S31*$T14:$T31)</f>
        <v>0</v>
      </c>
      <c r="R158" s="44" cm="1">
        <f t="array" ref="R158">SUM(R14:R31*$S14:$S31*$T14:$T31)</f>
        <v>0</v>
      </c>
    </row>
    <row r="159" spans="1:21" ht="15" thickBot="1" x14ac:dyDescent="0.25">
      <c r="A159" s="80" t="s">
        <v>36</v>
      </c>
      <c r="B159" s="81"/>
      <c r="C159" s="82"/>
      <c r="D159" s="33"/>
      <c r="E159" s="34"/>
      <c r="F159" s="35"/>
      <c r="G159" s="45">
        <f>G158-G157</f>
        <v>0</v>
      </c>
      <c r="H159" s="45">
        <f t="shared" ref="H159:N159" si="31">H158-H157</f>
        <v>0</v>
      </c>
      <c r="I159" s="45">
        <f t="shared" si="31"/>
        <v>0</v>
      </c>
      <c r="J159" s="45">
        <f t="shared" si="31"/>
        <v>0</v>
      </c>
      <c r="K159" s="45">
        <f>K158-K157</f>
        <v>0</v>
      </c>
      <c r="L159" s="45">
        <f t="shared" si="31"/>
        <v>0</v>
      </c>
      <c r="M159" s="45">
        <f t="shared" si="31"/>
        <v>0</v>
      </c>
      <c r="N159" s="45">
        <f t="shared" si="31"/>
        <v>0</v>
      </c>
      <c r="O159" s="45">
        <f t="shared" ref="O159:P159" si="32">O158-O157</f>
        <v>0</v>
      </c>
      <c r="P159" s="45">
        <f t="shared" si="32"/>
        <v>0</v>
      </c>
      <c r="Q159" s="45">
        <f>Q158-Q157</f>
        <v>0</v>
      </c>
      <c r="R159" s="46">
        <f>R158-R157</f>
        <v>0</v>
      </c>
    </row>
    <row r="160" spans="1:21" x14ac:dyDescent="0.2">
      <c r="A160" s="4"/>
      <c r="B160" s="4"/>
      <c r="C160" s="4"/>
      <c r="D160" s="4"/>
      <c r="E160" s="5"/>
      <c r="F160" s="50"/>
      <c r="G160" s="13"/>
      <c r="H160" s="13"/>
      <c r="I160" s="13"/>
    </row>
    <row r="161" spans="1:21" ht="13.8" thickBot="1" x14ac:dyDescent="0.25">
      <c r="A161" s="12" t="s">
        <v>19</v>
      </c>
    </row>
    <row r="162" spans="1:21" ht="30" customHeight="1" x14ac:dyDescent="0.2">
      <c r="A162" s="83" t="s">
        <v>42</v>
      </c>
      <c r="B162" s="84"/>
      <c r="C162" s="84"/>
      <c r="D162" s="84"/>
      <c r="E162" s="85"/>
      <c r="F162" s="48"/>
      <c r="G162" s="42" t="str">
        <f>G$13</f>
        <v>G13</v>
      </c>
      <c r="H162" s="42" t="str">
        <f t="shared" ref="H162:Q162" si="33">H$13</f>
        <v>H13</v>
      </c>
      <c r="I162" s="42" t="str">
        <f t="shared" si="33"/>
        <v>I13</v>
      </c>
      <c r="J162" s="42" t="str">
        <f t="shared" si="33"/>
        <v>J13</v>
      </c>
      <c r="K162" s="42" t="str">
        <f t="shared" si="33"/>
        <v>K13</v>
      </c>
      <c r="L162" s="42" t="str">
        <f t="shared" si="33"/>
        <v>L13</v>
      </c>
      <c r="M162" s="42" t="str">
        <f t="shared" si="33"/>
        <v>M13</v>
      </c>
      <c r="N162" s="42" t="str">
        <f t="shared" si="33"/>
        <v>N13</v>
      </c>
      <c r="O162" s="42" t="str">
        <f t="shared" si="33"/>
        <v>O13</v>
      </c>
      <c r="P162" s="42" t="str">
        <f t="shared" si="33"/>
        <v>P13</v>
      </c>
      <c r="Q162" s="42" t="str">
        <f t="shared" si="33"/>
        <v>Q13</v>
      </c>
      <c r="R162" s="43" t="s">
        <v>8</v>
      </c>
    </row>
    <row r="163" spans="1:21" ht="14.4" x14ac:dyDescent="0.2">
      <c r="A163" s="77" t="s">
        <v>35</v>
      </c>
      <c r="B163" s="78"/>
      <c r="C163" s="79"/>
      <c r="D163" s="31"/>
      <c r="E163" s="32"/>
      <c r="F163" s="49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7"/>
      <c r="R163" s="44">
        <f>SUM(G163:Q163)</f>
        <v>0</v>
      </c>
    </row>
    <row r="164" spans="1:21" ht="14.4" x14ac:dyDescent="0.2">
      <c r="A164" s="77" t="s">
        <v>34</v>
      </c>
      <c r="B164" s="78"/>
      <c r="C164" s="79"/>
      <c r="D164" s="31"/>
      <c r="E164" s="32"/>
      <c r="F164" s="49"/>
      <c r="G164" s="41" cm="1">
        <f t="array" ref="G164">SUM(G36:G53*$S36:$S53*$T36:$T53)</f>
        <v>0</v>
      </c>
      <c r="H164" s="41" cm="1">
        <f t="array" ref="H164">SUM(H36:H53*$S36:$S53*$T36:$T53)</f>
        <v>0</v>
      </c>
      <c r="I164" s="41" cm="1">
        <f t="array" ref="I164">SUM(I36:I53*$S36:$S53*$T36:$T53)</f>
        <v>0</v>
      </c>
      <c r="J164" s="41" cm="1">
        <f t="array" ref="J164">SUM(J36:J53*$S36:$S53*$T36:$T53)</f>
        <v>0</v>
      </c>
      <c r="K164" s="41" cm="1">
        <f t="array" ref="K164">SUM(K36:K53*$S36:$S53*$T36:$T53)</f>
        <v>0</v>
      </c>
      <c r="L164" s="41" cm="1">
        <f t="array" ref="L164">SUM(L36:L53*$S36:$S53*$T36:$T53)</f>
        <v>0</v>
      </c>
      <c r="M164" s="41" cm="1">
        <f t="array" ref="M164">SUM(M36:M53*$S36:$S53*$T36:$T53)</f>
        <v>0</v>
      </c>
      <c r="N164" s="41" cm="1">
        <f t="array" ref="N164">SUM(N36:N53*$S36:$S53*$T36:$T53)</f>
        <v>0</v>
      </c>
      <c r="O164" s="41" cm="1">
        <f t="array" ref="O164">SUM(O36:O53*$S36:$S53*$T36:$T53)</f>
        <v>0</v>
      </c>
      <c r="P164" s="41" cm="1">
        <f t="array" ref="P164">SUM(P36:P53*$S36:$S53*$T36:$T53)</f>
        <v>0</v>
      </c>
      <c r="Q164" s="41" cm="1">
        <f t="array" ref="Q164">SUM(Q36:Q53*$S36:$S53*$T36:$T53)</f>
        <v>0</v>
      </c>
      <c r="R164" s="44" cm="1">
        <f t="array" ref="R164">SUM(R36:R53*$S36:$S53*$T36:$T53)</f>
        <v>0</v>
      </c>
    </row>
    <row r="165" spans="1:21" ht="15" thickBot="1" x14ac:dyDescent="0.25">
      <c r="A165" s="80" t="s">
        <v>36</v>
      </c>
      <c r="B165" s="81"/>
      <c r="C165" s="82"/>
      <c r="D165" s="33"/>
      <c r="E165" s="34"/>
      <c r="F165" s="35"/>
      <c r="G165" s="45">
        <f>G164-G163</f>
        <v>0</v>
      </c>
      <c r="H165" s="45">
        <f t="shared" ref="H165:J165" si="34">H164-H163</f>
        <v>0</v>
      </c>
      <c r="I165" s="45">
        <f t="shared" si="34"/>
        <v>0</v>
      </c>
      <c r="J165" s="45">
        <f t="shared" si="34"/>
        <v>0</v>
      </c>
      <c r="K165" s="45">
        <f>K164-K163</f>
        <v>0</v>
      </c>
      <c r="L165" s="45">
        <f t="shared" ref="L165:N165" si="35">L164-L163</f>
        <v>0</v>
      </c>
      <c r="M165" s="45">
        <f t="shared" si="35"/>
        <v>0</v>
      </c>
      <c r="N165" s="45">
        <f t="shared" si="35"/>
        <v>0</v>
      </c>
      <c r="O165" s="45">
        <f t="shared" ref="O165:P165" si="36">O164-O163</f>
        <v>0</v>
      </c>
      <c r="P165" s="45">
        <f t="shared" si="36"/>
        <v>0</v>
      </c>
      <c r="Q165" s="45">
        <f>Q164-Q163</f>
        <v>0</v>
      </c>
      <c r="R165" s="46">
        <f>R164-R163</f>
        <v>0</v>
      </c>
    </row>
    <row r="166" spans="1:21" x14ac:dyDescent="0.2">
      <c r="A166" s="4"/>
      <c r="B166" s="4"/>
      <c r="C166" s="4"/>
      <c r="D166" s="4"/>
      <c r="E166" s="5"/>
      <c r="F166" s="50"/>
      <c r="G166" s="13"/>
      <c r="H166" s="13"/>
      <c r="I166" s="13"/>
    </row>
    <row r="167" spans="1:21" ht="13.8" thickBot="1" x14ac:dyDescent="0.25">
      <c r="A167" s="12" t="s">
        <v>19</v>
      </c>
      <c r="U167" s="36"/>
    </row>
    <row r="168" spans="1:21" ht="30" customHeight="1" x14ac:dyDescent="0.2">
      <c r="A168" s="83" t="s">
        <v>42</v>
      </c>
      <c r="B168" s="84"/>
      <c r="C168" s="84"/>
      <c r="D168" s="84"/>
      <c r="E168" s="85"/>
      <c r="F168" s="48"/>
      <c r="G168" s="42" t="str">
        <f>G$13</f>
        <v>G13</v>
      </c>
      <c r="H168" s="42" t="str">
        <f t="shared" ref="H168:Q168" si="37">H$13</f>
        <v>H13</v>
      </c>
      <c r="I168" s="42" t="str">
        <f t="shared" si="37"/>
        <v>I13</v>
      </c>
      <c r="J168" s="42" t="str">
        <f t="shared" si="37"/>
        <v>J13</v>
      </c>
      <c r="K168" s="42" t="str">
        <f t="shared" si="37"/>
        <v>K13</v>
      </c>
      <c r="L168" s="42" t="str">
        <f t="shared" si="37"/>
        <v>L13</v>
      </c>
      <c r="M168" s="42" t="str">
        <f t="shared" si="37"/>
        <v>M13</v>
      </c>
      <c r="N168" s="42" t="str">
        <f t="shared" si="37"/>
        <v>N13</v>
      </c>
      <c r="O168" s="42" t="str">
        <f t="shared" si="37"/>
        <v>O13</v>
      </c>
      <c r="P168" s="42" t="str">
        <f t="shared" si="37"/>
        <v>P13</v>
      </c>
      <c r="Q168" s="42" t="str">
        <f t="shared" si="37"/>
        <v>Q13</v>
      </c>
      <c r="R168" s="43" t="s">
        <v>8</v>
      </c>
    </row>
    <row r="169" spans="1:21" ht="14.4" x14ac:dyDescent="0.2">
      <c r="A169" s="77" t="s">
        <v>35</v>
      </c>
      <c r="B169" s="78"/>
      <c r="C169" s="79"/>
      <c r="D169" s="31"/>
      <c r="E169" s="32"/>
      <c r="F169" s="49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7"/>
      <c r="R169" s="44">
        <f>SUM(G169:Q169)</f>
        <v>0</v>
      </c>
    </row>
    <row r="170" spans="1:21" ht="14.4" x14ac:dyDescent="0.2">
      <c r="A170" s="77" t="s">
        <v>34</v>
      </c>
      <c r="B170" s="78"/>
      <c r="C170" s="79"/>
      <c r="D170" s="31"/>
      <c r="E170" s="32"/>
      <c r="F170" s="49"/>
      <c r="G170" s="41" cm="1">
        <f t="array" ref="G170">SUM(G58:G75*$S58:$S75*$T58:$T75)</f>
        <v>0</v>
      </c>
      <c r="H170" s="41" cm="1">
        <f t="array" ref="H170">SUM(H58:H75*$S58:$S75*$T58:$T75)</f>
        <v>0</v>
      </c>
      <c r="I170" s="41" cm="1">
        <f t="array" ref="I170">SUM(I58:I75*$S58:$S75*$T58:$T75)</f>
        <v>0</v>
      </c>
      <c r="J170" s="41" cm="1">
        <f t="array" ref="J170">SUM(J58:J75*$S58:$S75*$T58:$T75)</f>
        <v>0</v>
      </c>
      <c r="K170" s="41" cm="1">
        <f t="array" ref="K170">SUM(K58:K75*$S58:$S75*$T58:$T75)</f>
        <v>0</v>
      </c>
      <c r="L170" s="41" cm="1">
        <f t="array" ref="L170">SUM(L58:L75*$S58:$S75*$T58:$T75)</f>
        <v>0</v>
      </c>
      <c r="M170" s="41" cm="1">
        <f t="array" ref="M170">SUM(M58:M75*$S58:$S75*$T58:$T75)</f>
        <v>0</v>
      </c>
      <c r="N170" s="41" cm="1">
        <f t="array" ref="N170">SUM(N58:N75*$S58:$S75*$T58:$T75)</f>
        <v>0</v>
      </c>
      <c r="O170" s="41" cm="1">
        <f t="array" ref="O170">SUM(O58:O75*$S58:$S75*$T58:$T75)</f>
        <v>0</v>
      </c>
      <c r="P170" s="41" cm="1">
        <f t="array" ref="P170">SUM(P58:P75*$S58:$S75*$T58:$T75)</f>
        <v>0</v>
      </c>
      <c r="Q170" s="41" cm="1">
        <f t="array" ref="Q170">SUM(Q58:Q75*$S58:$S75*$T58:$T75)</f>
        <v>0</v>
      </c>
      <c r="R170" s="44" cm="1">
        <f t="array" ref="R170">SUM(R58:R75*$S58:$S75*$T58:$T75)</f>
        <v>0</v>
      </c>
    </row>
    <row r="171" spans="1:21" ht="15" thickBot="1" x14ac:dyDescent="0.25">
      <c r="A171" s="80" t="s">
        <v>36</v>
      </c>
      <c r="B171" s="81"/>
      <c r="C171" s="82"/>
      <c r="D171" s="33"/>
      <c r="E171" s="34"/>
      <c r="F171" s="35"/>
      <c r="G171" s="45">
        <f>G170-G169</f>
        <v>0</v>
      </c>
      <c r="H171" s="45">
        <f t="shared" ref="H171:J171" si="38">H170-H169</f>
        <v>0</v>
      </c>
      <c r="I171" s="45">
        <f t="shared" si="38"/>
        <v>0</v>
      </c>
      <c r="J171" s="45">
        <f t="shared" si="38"/>
        <v>0</v>
      </c>
      <c r="K171" s="45">
        <f>K170-K169</f>
        <v>0</v>
      </c>
      <c r="L171" s="45">
        <f t="shared" ref="L171:N171" si="39">L170-L169</f>
        <v>0</v>
      </c>
      <c r="M171" s="45">
        <f t="shared" si="39"/>
        <v>0</v>
      </c>
      <c r="N171" s="45">
        <f t="shared" si="39"/>
        <v>0</v>
      </c>
      <c r="O171" s="45">
        <f t="shared" ref="O171:P171" si="40">O170-O169</f>
        <v>0</v>
      </c>
      <c r="P171" s="45">
        <f t="shared" si="40"/>
        <v>0</v>
      </c>
      <c r="Q171" s="45">
        <f>Q170-Q169</f>
        <v>0</v>
      </c>
      <c r="R171" s="46">
        <f>R170-R169</f>
        <v>0</v>
      </c>
    </row>
    <row r="172" spans="1:21" x14ac:dyDescent="0.2">
      <c r="A172" s="4"/>
      <c r="B172" s="4"/>
      <c r="C172" s="4"/>
      <c r="D172" s="4"/>
      <c r="E172" s="5"/>
      <c r="F172" s="50"/>
      <c r="G172" s="13"/>
      <c r="H172" s="13"/>
      <c r="I172" s="13"/>
    </row>
    <row r="173" spans="1:21" ht="13.8" thickBot="1" x14ac:dyDescent="0.25">
      <c r="A173" s="12" t="s">
        <v>19</v>
      </c>
    </row>
    <row r="174" spans="1:21" ht="30" customHeight="1" x14ac:dyDescent="0.2">
      <c r="A174" s="83" t="s">
        <v>42</v>
      </c>
      <c r="B174" s="84"/>
      <c r="C174" s="84"/>
      <c r="D174" s="84"/>
      <c r="E174" s="85"/>
      <c r="F174" s="48"/>
      <c r="G174" s="42" t="str">
        <f>G$13</f>
        <v>G13</v>
      </c>
      <c r="H174" s="42" t="str">
        <f t="shared" ref="H174:Q174" si="41">H$13</f>
        <v>H13</v>
      </c>
      <c r="I174" s="42" t="str">
        <f t="shared" si="41"/>
        <v>I13</v>
      </c>
      <c r="J174" s="42" t="str">
        <f t="shared" si="41"/>
        <v>J13</v>
      </c>
      <c r="K174" s="42" t="str">
        <f t="shared" si="41"/>
        <v>K13</v>
      </c>
      <c r="L174" s="42" t="str">
        <f t="shared" si="41"/>
        <v>L13</v>
      </c>
      <c r="M174" s="42" t="str">
        <f t="shared" si="41"/>
        <v>M13</v>
      </c>
      <c r="N174" s="42" t="str">
        <f t="shared" si="41"/>
        <v>N13</v>
      </c>
      <c r="O174" s="42" t="str">
        <f t="shared" si="41"/>
        <v>O13</v>
      </c>
      <c r="P174" s="42" t="str">
        <f t="shared" si="41"/>
        <v>P13</v>
      </c>
      <c r="Q174" s="42" t="str">
        <f t="shared" si="41"/>
        <v>Q13</v>
      </c>
      <c r="R174" s="43" t="s">
        <v>8</v>
      </c>
    </row>
    <row r="175" spans="1:21" ht="14.4" x14ac:dyDescent="0.2">
      <c r="A175" s="77" t="s">
        <v>35</v>
      </c>
      <c r="B175" s="78"/>
      <c r="C175" s="79"/>
      <c r="D175" s="31"/>
      <c r="E175" s="32"/>
      <c r="F175" s="49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7"/>
      <c r="R175" s="44">
        <f>SUM(G175:Q175)</f>
        <v>0</v>
      </c>
    </row>
    <row r="176" spans="1:21" ht="14.4" x14ac:dyDescent="0.2">
      <c r="A176" s="77" t="s">
        <v>34</v>
      </c>
      <c r="B176" s="78"/>
      <c r="C176" s="79"/>
      <c r="D176" s="31"/>
      <c r="E176" s="32"/>
      <c r="F176" s="49"/>
      <c r="G176" s="41" cm="1">
        <f t="array" ref="G176">SUM(G80:G97*$S80:$S97*$T80:$T97)</f>
        <v>0</v>
      </c>
      <c r="H176" s="41" cm="1">
        <f t="array" ref="H176">SUM(H80:H97*$S80:$S97*$T80:$T97)</f>
        <v>0</v>
      </c>
      <c r="I176" s="41" cm="1">
        <f t="array" ref="I176">SUM(I80:I97*$S80:$S97*$T80:$T97)</f>
        <v>0</v>
      </c>
      <c r="J176" s="41" cm="1">
        <f t="array" ref="J176">SUM(J80:J97*$S80:$S97*$T80:$T97)</f>
        <v>0</v>
      </c>
      <c r="K176" s="41" cm="1">
        <f t="array" ref="K176">SUM(K80:K97*$S80:$S97*$T80:$T97)</f>
        <v>0</v>
      </c>
      <c r="L176" s="41" cm="1">
        <f t="array" ref="L176">SUM(L80:L97*$S80:$S97*$T80:$T97)</f>
        <v>0</v>
      </c>
      <c r="M176" s="41" cm="1">
        <f t="array" ref="M176">SUM(M80:M97*$S80:$S97*$T80:$T97)</f>
        <v>0</v>
      </c>
      <c r="N176" s="41" cm="1">
        <f t="array" ref="N176">SUM(N80:N97*$S80:$S97*$T80:$T97)</f>
        <v>0</v>
      </c>
      <c r="O176" s="41" cm="1">
        <f t="array" ref="O176">SUM(O80:O97*$S80:$S97*$T80:$T97)</f>
        <v>0</v>
      </c>
      <c r="P176" s="41" cm="1">
        <f t="array" ref="P176">SUM(P80:P97*$S80:$S97*$T80:$T97)</f>
        <v>0</v>
      </c>
      <c r="Q176" s="41" cm="1">
        <f t="array" ref="Q176">SUM(Q80:Q97*$S80:$S97*$T80:$T97)</f>
        <v>0</v>
      </c>
      <c r="R176" s="44" cm="1">
        <f t="array" ref="R176">SUM(R80:R97*$S80:$S97*$T80:$T97)</f>
        <v>0</v>
      </c>
    </row>
    <row r="177" spans="1:19" ht="15" thickBot="1" x14ac:dyDescent="0.25">
      <c r="A177" s="80" t="s">
        <v>36</v>
      </c>
      <c r="B177" s="81"/>
      <c r="C177" s="82"/>
      <c r="D177" s="33"/>
      <c r="E177" s="34"/>
      <c r="F177" s="35"/>
      <c r="G177" s="45">
        <f>G176-G175</f>
        <v>0</v>
      </c>
      <c r="H177" s="45">
        <f t="shared" ref="H177:J177" si="42">H176-H175</f>
        <v>0</v>
      </c>
      <c r="I177" s="45">
        <f t="shared" si="42"/>
        <v>0</v>
      </c>
      <c r="J177" s="45">
        <f t="shared" si="42"/>
        <v>0</v>
      </c>
      <c r="K177" s="45">
        <f>K176-K175</f>
        <v>0</v>
      </c>
      <c r="L177" s="45">
        <f t="shared" ref="L177:N177" si="43">L176-L175</f>
        <v>0</v>
      </c>
      <c r="M177" s="45">
        <f t="shared" si="43"/>
        <v>0</v>
      </c>
      <c r="N177" s="45">
        <f t="shared" si="43"/>
        <v>0</v>
      </c>
      <c r="O177" s="45">
        <f t="shared" ref="O177:P177" si="44">O176-O175</f>
        <v>0</v>
      </c>
      <c r="P177" s="45">
        <f t="shared" si="44"/>
        <v>0</v>
      </c>
      <c r="Q177" s="45">
        <f>Q176-Q175</f>
        <v>0</v>
      </c>
      <c r="R177" s="46">
        <f>R176-R175</f>
        <v>0</v>
      </c>
    </row>
    <row r="178" spans="1:19" x14ac:dyDescent="0.2">
      <c r="A178" s="36"/>
      <c r="B178" s="36"/>
      <c r="C178" s="36"/>
      <c r="D178" s="36"/>
      <c r="E178" s="36"/>
      <c r="F178" s="36"/>
      <c r="G178" s="13"/>
      <c r="H178" s="13"/>
      <c r="I178" s="13"/>
      <c r="J178" s="13"/>
      <c r="K178" s="13"/>
      <c r="L178" s="13"/>
      <c r="M178" s="13"/>
      <c r="N178" s="36"/>
      <c r="O178" s="36"/>
      <c r="P178" s="36"/>
      <c r="Q178" s="36"/>
    </row>
    <row r="179" spans="1:19" ht="13.8" thickBot="1" x14ac:dyDescent="0.25">
      <c r="A179" s="12" t="s">
        <v>19</v>
      </c>
      <c r="S179" s="12"/>
    </row>
    <row r="180" spans="1:19" ht="30" customHeight="1" x14ac:dyDescent="0.2">
      <c r="A180" s="83" t="s">
        <v>42</v>
      </c>
      <c r="B180" s="84"/>
      <c r="C180" s="84"/>
      <c r="D180" s="84"/>
      <c r="E180" s="85"/>
      <c r="F180" s="48"/>
      <c r="G180" s="42" t="str">
        <f>G$13</f>
        <v>G13</v>
      </c>
      <c r="H180" s="42" t="str">
        <f t="shared" ref="H180:Q180" si="45">H$13</f>
        <v>H13</v>
      </c>
      <c r="I180" s="42" t="str">
        <f t="shared" si="45"/>
        <v>I13</v>
      </c>
      <c r="J180" s="42" t="str">
        <f t="shared" si="45"/>
        <v>J13</v>
      </c>
      <c r="K180" s="42" t="str">
        <f t="shared" si="45"/>
        <v>K13</v>
      </c>
      <c r="L180" s="42" t="str">
        <f t="shared" si="45"/>
        <v>L13</v>
      </c>
      <c r="M180" s="42" t="str">
        <f t="shared" si="45"/>
        <v>M13</v>
      </c>
      <c r="N180" s="42" t="str">
        <f t="shared" si="45"/>
        <v>N13</v>
      </c>
      <c r="O180" s="42" t="str">
        <f t="shared" si="45"/>
        <v>O13</v>
      </c>
      <c r="P180" s="42" t="str">
        <f t="shared" si="45"/>
        <v>P13</v>
      </c>
      <c r="Q180" s="42" t="str">
        <f t="shared" si="45"/>
        <v>Q13</v>
      </c>
      <c r="R180" s="43" t="s">
        <v>8</v>
      </c>
    </row>
    <row r="181" spans="1:19" ht="14.4" x14ac:dyDescent="0.2">
      <c r="A181" s="77" t="s">
        <v>35</v>
      </c>
      <c r="B181" s="78"/>
      <c r="C181" s="79"/>
      <c r="D181" s="31"/>
      <c r="E181" s="32"/>
      <c r="F181" s="49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7"/>
      <c r="R181" s="44">
        <f>SUM(G181:Q181)</f>
        <v>0</v>
      </c>
    </row>
    <row r="182" spans="1:19" ht="14.4" x14ac:dyDescent="0.2">
      <c r="A182" s="77" t="s">
        <v>34</v>
      </c>
      <c r="B182" s="78"/>
      <c r="C182" s="79"/>
      <c r="D182" s="31"/>
      <c r="E182" s="32"/>
      <c r="F182" s="49"/>
      <c r="G182" s="41" cm="1">
        <f t="array" ref="G182">SUM(G102:G119*$S102:$S119*$T102:$T119)</f>
        <v>0</v>
      </c>
      <c r="H182" s="41" cm="1">
        <f t="array" ref="H182">SUM(H102:H119*$S102:$S119*$T102:$T119)</f>
        <v>0</v>
      </c>
      <c r="I182" s="41" cm="1">
        <f t="array" ref="I182">SUM(I102:I119*$S102:$S119*$T102:$T119)</f>
        <v>0</v>
      </c>
      <c r="J182" s="41" cm="1">
        <f t="array" ref="J182">SUM(J102:J119*$S102:$S119*$T102:$T119)</f>
        <v>0</v>
      </c>
      <c r="K182" s="41" cm="1">
        <f t="array" ref="K182">SUM(K102:K119*$S102:$S119*$T102:$T119)</f>
        <v>0</v>
      </c>
      <c r="L182" s="41" cm="1">
        <f t="array" ref="L182">SUM(L102:L119*$S102:$S119*$T102:$T119)</f>
        <v>0</v>
      </c>
      <c r="M182" s="41" cm="1">
        <f t="array" ref="M182">SUM(M102:M119*$S102:$S119*$T102:$T119)</f>
        <v>0</v>
      </c>
      <c r="N182" s="41" cm="1">
        <f t="array" ref="N182">SUM(N102:N119*$S102:$S119*$T102:$T119)</f>
        <v>0</v>
      </c>
      <c r="O182" s="41" cm="1">
        <f t="array" ref="O182">SUM(O102:O119*$S102:$S119*$T102:$T119)</f>
        <v>0</v>
      </c>
      <c r="P182" s="41" cm="1">
        <f t="array" ref="P182">SUM(P102:P119*$S102:$S119*$T102:$T119)</f>
        <v>0</v>
      </c>
      <c r="Q182" s="41" cm="1">
        <f t="array" ref="Q182">SUM(Q102:Q119*$S102:$S119*$T102:$T119)</f>
        <v>0</v>
      </c>
      <c r="R182" s="44" cm="1">
        <f t="array" ref="R182">SUM(R102:R119*$S102:$S119*$T102:$T119)</f>
        <v>0</v>
      </c>
    </row>
    <row r="183" spans="1:19" ht="15" thickBot="1" x14ac:dyDescent="0.25">
      <c r="A183" s="80" t="s">
        <v>36</v>
      </c>
      <c r="B183" s="81"/>
      <c r="C183" s="82"/>
      <c r="D183" s="33"/>
      <c r="E183" s="34"/>
      <c r="F183" s="35"/>
      <c r="G183" s="45">
        <f>G182-G181</f>
        <v>0</v>
      </c>
      <c r="H183" s="45">
        <f>H182-H181</f>
        <v>0</v>
      </c>
      <c r="I183" s="45">
        <f t="shared" ref="I183:J183" si="46">I182-I181</f>
        <v>0</v>
      </c>
      <c r="J183" s="45">
        <f t="shared" si="46"/>
        <v>0</v>
      </c>
      <c r="K183" s="45">
        <f>K182-K181</f>
        <v>0</v>
      </c>
      <c r="L183" s="45">
        <f t="shared" ref="L183:N183" si="47">L182-L181</f>
        <v>0</v>
      </c>
      <c r="M183" s="45">
        <f t="shared" si="47"/>
        <v>0</v>
      </c>
      <c r="N183" s="45">
        <f t="shared" si="47"/>
        <v>0</v>
      </c>
      <c r="O183" s="45">
        <f t="shared" ref="O183:P183" si="48">O182-O181</f>
        <v>0</v>
      </c>
      <c r="P183" s="45">
        <f t="shared" si="48"/>
        <v>0</v>
      </c>
      <c r="Q183" s="45">
        <f>Q182-Q181</f>
        <v>0</v>
      </c>
      <c r="R183" s="46">
        <f>R182-R181</f>
        <v>0</v>
      </c>
    </row>
    <row r="184" spans="1:19" x14ac:dyDescent="0.2">
      <c r="A184" s="4"/>
      <c r="B184" s="4"/>
      <c r="C184" s="4"/>
      <c r="D184" s="4"/>
      <c r="E184" s="5"/>
      <c r="F184" s="50"/>
      <c r="G184" s="13"/>
      <c r="H184" s="13"/>
      <c r="I184" s="13"/>
    </row>
    <row r="185" spans="1:19" ht="13.8" thickBot="1" x14ac:dyDescent="0.25">
      <c r="A185" s="12" t="s">
        <v>19</v>
      </c>
    </row>
    <row r="186" spans="1:19" ht="30" customHeight="1" x14ac:dyDescent="0.2">
      <c r="A186" s="83" t="s">
        <v>42</v>
      </c>
      <c r="B186" s="84"/>
      <c r="C186" s="84"/>
      <c r="D186" s="84"/>
      <c r="E186" s="85"/>
      <c r="F186" s="48"/>
      <c r="G186" s="42" t="str">
        <f>G$13</f>
        <v>G13</v>
      </c>
      <c r="H186" s="42" t="str">
        <f t="shared" ref="H186:Q186" si="49">H$13</f>
        <v>H13</v>
      </c>
      <c r="I186" s="42" t="str">
        <f t="shared" si="49"/>
        <v>I13</v>
      </c>
      <c r="J186" s="42" t="str">
        <f t="shared" si="49"/>
        <v>J13</v>
      </c>
      <c r="K186" s="42" t="str">
        <f t="shared" si="49"/>
        <v>K13</v>
      </c>
      <c r="L186" s="42" t="str">
        <f t="shared" si="49"/>
        <v>L13</v>
      </c>
      <c r="M186" s="42" t="str">
        <f t="shared" si="49"/>
        <v>M13</v>
      </c>
      <c r="N186" s="42" t="str">
        <f t="shared" si="49"/>
        <v>N13</v>
      </c>
      <c r="O186" s="42" t="str">
        <f t="shared" si="49"/>
        <v>O13</v>
      </c>
      <c r="P186" s="42" t="str">
        <f t="shared" si="49"/>
        <v>P13</v>
      </c>
      <c r="Q186" s="42" t="str">
        <f t="shared" si="49"/>
        <v>Q13</v>
      </c>
      <c r="R186" s="43" t="s">
        <v>8</v>
      </c>
    </row>
    <row r="187" spans="1:19" ht="14.4" x14ac:dyDescent="0.2">
      <c r="A187" s="77" t="s">
        <v>35</v>
      </c>
      <c r="B187" s="78"/>
      <c r="C187" s="79"/>
      <c r="D187" s="31"/>
      <c r="E187" s="32"/>
      <c r="F187" s="49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7"/>
      <c r="R187" s="44">
        <f>SUM(G187:Q187)</f>
        <v>0</v>
      </c>
    </row>
    <row r="188" spans="1:19" ht="14.4" x14ac:dyDescent="0.2">
      <c r="A188" s="77" t="s">
        <v>34</v>
      </c>
      <c r="B188" s="78"/>
      <c r="C188" s="79"/>
      <c r="D188" s="31"/>
      <c r="E188" s="32"/>
      <c r="F188" s="49"/>
      <c r="G188" s="41" cm="1">
        <f t="array" ref="G188">SUM(G124:G141*$S124:$S141*$T124:$T141)</f>
        <v>0</v>
      </c>
      <c r="H188" s="41" cm="1">
        <f t="array" ref="H188">SUM(H124:H141*$S124:$S141*$T124:$T141)</f>
        <v>0</v>
      </c>
      <c r="I188" s="41" cm="1">
        <f t="array" ref="I188">SUM(I124:I141*$S124:$S141*$T124:$T141)</f>
        <v>0</v>
      </c>
      <c r="J188" s="41" cm="1">
        <f t="array" ref="J188">SUM(J124:J141*$S124:$S141*$T124:$T141)</f>
        <v>0</v>
      </c>
      <c r="K188" s="41" cm="1">
        <f t="array" ref="K188">SUM(K124:K141*$S124:$S141*$T124:$T141)</f>
        <v>0</v>
      </c>
      <c r="L188" s="41" cm="1">
        <f t="array" ref="L188">SUM(L124:L141*$S124:$S141*$T124:$T141)</f>
        <v>0</v>
      </c>
      <c r="M188" s="41" cm="1">
        <f t="array" ref="M188">SUM(M124:M141*$S124:$S141*$T124:$T141)</f>
        <v>0</v>
      </c>
      <c r="N188" s="41" cm="1">
        <f t="array" ref="N188">SUM(N124:N141*$S124:$S141*$T124:$T141)</f>
        <v>0</v>
      </c>
      <c r="O188" s="41" cm="1">
        <f t="array" ref="O188">SUM(O124:O141*$S124:$S141*$T124:$T141)</f>
        <v>0</v>
      </c>
      <c r="P188" s="41" cm="1">
        <f t="array" ref="P188">SUM(P124:P141*$S124:$S141*$T124:$T141)</f>
        <v>0</v>
      </c>
      <c r="Q188" s="41" cm="1">
        <f t="array" ref="Q188">SUM(Q124:Q141*$S124:$S141*$T124:$T141)</f>
        <v>0</v>
      </c>
      <c r="R188" s="44" cm="1">
        <f t="array" ref="R188">SUM(R124:R141*$S124:$S141*$T124:$T141)</f>
        <v>0</v>
      </c>
    </row>
    <row r="189" spans="1:19" ht="15" thickBot="1" x14ac:dyDescent="0.25">
      <c r="A189" s="80" t="s">
        <v>36</v>
      </c>
      <c r="B189" s="81"/>
      <c r="C189" s="82"/>
      <c r="D189" s="33"/>
      <c r="E189" s="34"/>
      <c r="F189" s="35"/>
      <c r="G189" s="45">
        <f>G188-G187</f>
        <v>0</v>
      </c>
      <c r="H189" s="45">
        <f t="shared" ref="H189:J189" si="50">H188-H187</f>
        <v>0</v>
      </c>
      <c r="I189" s="45">
        <f t="shared" si="50"/>
        <v>0</v>
      </c>
      <c r="J189" s="45">
        <f t="shared" si="50"/>
        <v>0</v>
      </c>
      <c r="K189" s="45">
        <f>K188-K187</f>
        <v>0</v>
      </c>
      <c r="L189" s="45">
        <f t="shared" ref="L189:N189" si="51">L188-L187</f>
        <v>0</v>
      </c>
      <c r="M189" s="45">
        <f t="shared" si="51"/>
        <v>0</v>
      </c>
      <c r="N189" s="45">
        <f t="shared" si="51"/>
        <v>0</v>
      </c>
      <c r="O189" s="45">
        <f t="shared" ref="O189:P189" si="52">O188-O187</f>
        <v>0</v>
      </c>
      <c r="P189" s="45">
        <f t="shared" si="52"/>
        <v>0</v>
      </c>
      <c r="Q189" s="45">
        <f>Q188-Q187</f>
        <v>0</v>
      </c>
      <c r="R189" s="46">
        <f>R188-R187</f>
        <v>0</v>
      </c>
    </row>
    <row r="191" spans="1:19" x14ac:dyDescent="0.2">
      <c r="A191" s="12" t="s">
        <v>20</v>
      </c>
      <c r="E191" s="37">
        <f>E153</f>
        <v>54</v>
      </c>
      <c r="F191" s="1" t="s">
        <v>21</v>
      </c>
    </row>
    <row r="192" spans="1:19" x14ac:dyDescent="0.2">
      <c r="A192" s="12" t="s">
        <v>22</v>
      </c>
      <c r="E192" s="37">
        <f>F153</f>
        <v>0</v>
      </c>
      <c r="F192" s="1" t="s">
        <v>21</v>
      </c>
    </row>
    <row r="193" spans="1:6" x14ac:dyDescent="0.2">
      <c r="A193" s="12" t="s">
        <v>23</v>
      </c>
      <c r="E193" s="37">
        <f>G153</f>
        <v>10.368</v>
      </c>
      <c r="F193" s="1" t="s">
        <v>24</v>
      </c>
    </row>
    <row r="195" spans="1:6" x14ac:dyDescent="0.2">
      <c r="A195" s="12" t="s">
        <v>25</v>
      </c>
      <c r="E195" s="38">
        <f>T33+T55+T77+T99+T121+T143</f>
        <v>108</v>
      </c>
      <c r="F195" s="1" t="s">
        <v>26</v>
      </c>
    </row>
    <row r="196" spans="1:6" x14ac:dyDescent="0.2">
      <c r="A196" s="12" t="s">
        <v>27</v>
      </c>
      <c r="E196" s="38">
        <f>U33+U55+U77+U99+U121+U143</f>
        <v>0</v>
      </c>
      <c r="F196" s="1" t="s">
        <v>26</v>
      </c>
    </row>
  </sheetData>
  <mergeCells count="63">
    <mergeCell ref="A187:C187"/>
    <mergeCell ref="A188:C188"/>
    <mergeCell ref="A189:C189"/>
    <mergeCell ref="A186:E186"/>
    <mergeCell ref="A183:C183"/>
    <mergeCell ref="A180:E180"/>
    <mergeCell ref="A182:C182"/>
    <mergeCell ref="A181:C181"/>
    <mergeCell ref="E102:E120"/>
    <mergeCell ref="A177:C177"/>
    <mergeCell ref="A156:E156"/>
    <mergeCell ref="A123:C123"/>
    <mergeCell ref="E124:E142"/>
    <mergeCell ref="A142:C142"/>
    <mergeCell ref="A143:C143"/>
    <mergeCell ref="G120:S120"/>
    <mergeCell ref="A121:C121"/>
    <mergeCell ref="A176:C176"/>
    <mergeCell ref="A169:C169"/>
    <mergeCell ref="A170:C170"/>
    <mergeCell ref="A171:C171"/>
    <mergeCell ref="A174:E174"/>
    <mergeCell ref="A175:C175"/>
    <mergeCell ref="A162:E162"/>
    <mergeCell ref="A163:C163"/>
    <mergeCell ref="A164:C164"/>
    <mergeCell ref="A165:C165"/>
    <mergeCell ref="A168:E168"/>
    <mergeCell ref="A159:C159"/>
    <mergeCell ref="F124:F142"/>
    <mergeCell ref="G142:S142"/>
    <mergeCell ref="A1:V2"/>
    <mergeCell ref="A13:C13"/>
    <mergeCell ref="A157:C157"/>
    <mergeCell ref="A158:C158"/>
    <mergeCell ref="A33:C33"/>
    <mergeCell ref="A32:C32"/>
    <mergeCell ref="A35:C35"/>
    <mergeCell ref="E36:E54"/>
    <mergeCell ref="F36:F54"/>
    <mergeCell ref="A54:C54"/>
    <mergeCell ref="G54:S54"/>
    <mergeCell ref="A55:C55"/>
    <mergeCell ref="A57:C57"/>
    <mergeCell ref="E58:E76"/>
    <mergeCell ref="F58:F76"/>
    <mergeCell ref="A76:C76"/>
    <mergeCell ref="E14:E32"/>
    <mergeCell ref="A153:D153"/>
    <mergeCell ref="G153:I153"/>
    <mergeCell ref="G32:S32"/>
    <mergeCell ref="F14:F32"/>
    <mergeCell ref="G76:S76"/>
    <mergeCell ref="A77:C77"/>
    <mergeCell ref="A79:C79"/>
    <mergeCell ref="E80:E98"/>
    <mergeCell ref="F80:F98"/>
    <mergeCell ref="A98:C98"/>
    <mergeCell ref="G98:S98"/>
    <mergeCell ref="A99:C99"/>
    <mergeCell ref="A101:C101"/>
    <mergeCell ref="F102:F120"/>
    <mergeCell ref="A120:C120"/>
  </mergeCells>
  <phoneticPr fontId="9" type="noConversion"/>
  <pageMargins left="0.23622047244094491" right="0.23622047244094491" top="0.35433070866141736" bottom="0.35433070866141736" header="0.31496062992125984" footer="0.31496062992125984"/>
  <pageSetup paperSize="9" scale="61" orientation="portrait" r:id="rId1"/>
  <rowBreaks count="1" manualBreakCount="1">
    <brk id="177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</dc:creator>
  <cp:lastModifiedBy>s.yurtseven</cp:lastModifiedBy>
  <cp:lastPrinted>2022-02-11T06:09:18Z</cp:lastPrinted>
  <dcterms:created xsi:type="dcterms:W3CDTF">2014-01-16T06:44:17Z</dcterms:created>
  <dcterms:modified xsi:type="dcterms:W3CDTF">2022-11-18T07:02:49Z</dcterms:modified>
</cp:coreProperties>
</file>